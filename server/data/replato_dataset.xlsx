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21be78c29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5b6659fb0b384dd7"/>
    <x:sheet xmlns:r="http://schemas.openxmlformats.org/officeDocument/2006/relationships" name="_CATALOGS" sheetId="2" r:id="R81f7e7f33a6741fa"/>
    <x:sheet xmlns:r="http://schemas.openxmlformats.org/officeDocument/2006/relationships" name="users" sheetId="3" r:id="Rd6de8814f3224811"/>
    <x:sheet xmlns:r="http://schemas.openxmlformats.org/officeDocument/2006/relationships" name="establishments" sheetId="4" r:id="R3fc4fb6838ec4057"/>
    <x:sheet xmlns:r="http://schemas.openxmlformats.org/officeDocument/2006/relationships" name="food_packs" sheetId="5" r:id="R083a130ea2df48d8"/>
    <x:sheet xmlns:r="http://schemas.openxmlformats.org/officeDocument/2006/relationships" name="reservations" sheetId="6" r:id="R0e0fa63044dd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22"/>
      <x:color rgb="FFFFFFFF"/>
      <x:name val="Carlito"/>
    </x:font>
    <x:font>
      <x:sz val="10"/>
      <x:color rgb="FF233B34"/>
      <x:name val="Carlito"/>
    </x:font>
    <x:font>
      <x:b/>
      <x:sz val="11"/>
      <x:color rgb="FFFFFFFF"/>
      <x:name val="Carlito"/>
    </x:font>
    <x:font>
      <x:b/>
      <x:sz val="11"/>
      <x:color rgb="FF233B34"/>
      <x:name val="Carlito"/>
    </x:font>
    <x:font>
      <x:b/>
      <x:sz val="22"/>
      <x:color rgb="FF233B34"/>
      <x:name val="Aptos"/>
    </x:font>
    <x:font>
      <x:sz val="10"/>
      <x:color rgb="FF233B34"/>
      <x:name val="Aptos"/>
    </x:font>
    <x:font>
      <x:sz val="11"/>
      <x:color rgb="FF233B34"/>
      <x:name val="Aptos"/>
    </x:font>
    <x:font>
      <x:b/>
      <x:sz val="11"/>
      <x:color rgb="FF233B34"/>
      <x:name val="Aptos"/>
    </x:font>
    <x:font>
      <x:b/>
      <x:sz val="22"/>
      <x:color rgb="FFFFFFFF"/>
      <x:name val="Aptos Display"/>
    </x:font>
    <x:font>
      <x:b/>
      <x:sz val="10"/>
      <x:color rgb="FFFFFFFF"/>
      <x:name val="Carlito"/>
    </x:font>
    <x:font>
      <x:sz val="9"/>
      <x:color rgb="FF233B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52F"/>
      </x:patternFill>
    </x:fill>
    <x:fill>
      <x:patternFill patternType="solid">
        <x:fgColor rgb="FFDDEFE6"/>
      </x:patternFill>
    </x:fill>
    <x:fill>
      <x:patternFill patternType="solid">
        <x:fgColor rgb="FFEE7B4F"/>
      </x:patternFill>
    </x:fill>
    <x:fill>
      <x:patternFill patternType="solid">
        <x:fgColor rgb="FF1B7F5D"/>
      </x:patternFill>
    </x:fill>
  </x:fills>
  <x:borders count="10">
    <x:border/>
    <x:border>
      <x:left style="thin">
        <x:color rgb="FFD9E3DE"/>
      </x:left>
      <x:top style="thin">
        <x:color rgb="FFD9E3DE"/>
      </x:top>
    </x:border>
    <x:border>
      <x:right style="thin">
        <x:color rgb="FFD9E3DE"/>
      </x:right>
      <x:top style="thin">
        <x:color rgb="FFD9E3DE"/>
      </x:top>
    </x:border>
    <x:border>
      <x:left style="thin">
        <x:color rgb="FFD9E3DE"/>
      </x:left>
    </x:border>
    <x:border>
      <x:right style="thin">
        <x:color rgb="FFD9E3DE"/>
      </x:right>
    </x:border>
    <x:border>
      <x:left style="thin">
        <x:color rgb="FFD9E3DE"/>
      </x:left>
      <x:bottom style="thin">
        <x:color rgb="FFD9E3DE"/>
      </x:bottom>
    </x:border>
    <x:border>
      <x:right style="thin">
        <x:color rgb="FFD9E3DE"/>
      </x:right>
      <x:bottom style="thin">
        <x:color rgb="FFD9E3DE"/>
      </x:bottom>
    </x:border>
    <x:border>
      <x:bottom style="thin">
        <x:color rgb="FFD9E3DE"/>
      </x:bottom>
    </x:border>
    <x:border>
      <x:top style="thin">
        <x:color rgb="FFD9E3DE"/>
      </x:top>
      <x:bottom style="thin">
        <x:color rgb="FFD9E3DE"/>
      </x:bottom>
    </x:border>
    <x:border>
      <x:top style="thin">
        <x:color rgb="FFD9E3DE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8" fillId="4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7" xfId="0" applyNumberFormat="1" applyFont="1" applyFill="1" applyBorder="1"/>
    <x:xf numFmtId="0" fontId="11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8" xfId="0" applyNumberFormat="1" applyFont="1" applyFill="1" applyBorder="1"/>
    <x:xf numFmtId="0" fontId="1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9" xfId="0" applyNumberFormat="1" applyFont="1" applyFill="1" applyBorder="1"/>
    <x:xf numFmtId="0" fontId="1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1" fillId="0" borderId="7" xfId="0" applyNumberFormat="1" applyFont="1" applyFill="1" applyBorder="1"/>
    <x:xf numFmtId="200" fontId="11" fillId="0" borderId="8" xfId="0" applyNumberFormat="1" applyFont="1" applyFill="1" applyBorder="1"/>
    <x:xf numFmtId="200" fontId="11" fillId="0" borderId="9" xfId="0" applyNumberFormat="1" applyFont="1" applyFill="1" applyBorder="1"/>
  </x:cellXfs>
  <x:cellStyles count="1">
    <x:cellStyle name="Normal" xfId="0"/>
  </x:cellStyles>
  <x:dxfs count="5">
    <x:dxf>
      <x:font>
        <x:b/>
        <x:color rgb="FF9A2222"/>
      </x:font>
      <x:fill>
        <x:patternFill patternType="solid">
          <x:bgColor rgb="FFFDE2E2"/>
        </x:patternFill>
      </x:fill>
    </x:dxf>
    <x:dxf>
      <x:font>
        <x:color rgb="FF9A2222"/>
      </x:font>
      <x:fill>
        <x:patternFill patternType="solid">
          <x:bgColor rgb="FFFDE2E2"/>
        </x:patternFill>
      </x:fill>
    </x:dxf>
    <x:dxf>
      <x:font>
        <x:b/>
        <x:color rgb="FF9A2222"/>
      </x:font>
      <x:fill>
        <x:patternFill patternType="solid">
          <x:bgColor rgb="FFFDE2E2"/>
        </x:patternFill>
      </x:fill>
    </x:dxf>
    <x:dxf>
      <x:font>
        <x:b/>
        <x:color rgb="FF9A2222"/>
      </x:font>
      <x:fill>
        <x:patternFill patternType="solid">
          <x:bgColor rgb="FFFDE2E2"/>
        </x:patternFill>
      </x:fill>
    </x:dxf>
    <x:dxf>
      <x:font>
        <x:b/>
        <x:color rgb="FF9A2222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833693c08416d" /><Relationship Type="http://schemas.openxmlformats.org/officeDocument/2006/relationships/theme" Target="/xl/theme/theme1.xml" Id="Rac72a28c3e9943b4" /><Relationship Type="http://schemas.microsoft.com/office/2022/11/relationships/FeaturePropertyBag" Target="/xl/featurePropertyBag/featurePropertyBag.xml" Id="R7af7d78cc9a84b35" /><Relationship Type="http://schemas.openxmlformats.org/officeDocument/2006/relationships/sharedStrings" Target="/xl/sharedStrings.xml" Id="Reff7e4da643a42b8" /><Relationship Type="http://schemas.openxmlformats.org/officeDocument/2006/relationships/worksheet" Target="/xl/worksheets/sheet1.xml" Id="R5b6659fb0b384dd7" /><Relationship Type="http://schemas.openxmlformats.org/officeDocument/2006/relationships/worksheet" Target="/xl/worksheets/sheet2.xml" Id="R81f7e7f33a6741fa" /><Relationship Type="http://schemas.openxmlformats.org/officeDocument/2006/relationships/worksheet" Target="/xl/worksheets/sheet3.xml" Id="Rd6de8814f3224811" /><Relationship Type="http://schemas.openxmlformats.org/officeDocument/2006/relationships/worksheet" Target="/xl/worksheets/sheet4.xml" Id="R3fc4fb6838ec4057" /><Relationship Type="http://schemas.openxmlformats.org/officeDocument/2006/relationships/worksheet" Target="/xl/worksheets/sheet5.xml" Id="R083a130ea2df48d8" /><Relationship Type="http://schemas.openxmlformats.org/officeDocument/2006/relationships/worksheet" Target="/xl/worksheets/sheet6.xml" Id="R0e0fa63044dd49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ersTable" displayName="UsersTable" ref="A1:K41" headerRowCount="1" totalsRowCount="0" totalsRowShown="0">
  <x:tableColumns count="11">
    <x:tableColumn id="1" name="external_id"/>
    <x:tableColumn id="2" name="full_name"/>
    <x:tableColumn id="3" name="email"/>
    <x:tableColumn id="4" name="role"/>
    <x:tableColumn id="5" name="phone"/>
    <x:tableColumn id="6" name="city"/>
    <x:tableColumn id="7" name="postal_code"/>
    <x:tableColumn id="8" name="avatar_url"/>
    <x:tableColumn id="9" name="dietary_preferences"/>
    <x:tableColumn id="10" name="newsletter_opt_in"/>
    <x:tableColumn id="11" name="is_activ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stablishmentsTable" displayName="EstablishmentsTable" ref="A1:R25" headerRowCount="1" totalsRowCount="0" totalsRowShown="0">
  <x:tableColumns count="18">
    <x:tableColumn id="1" name="external_id"/>
    <x:tableColumn id="2" name="owner_external_id"/>
    <x:tableColumn id="3" name="name"/>
    <x:tableColumn id="4" name="slug"/>
    <x:tableColumn id="5" name="category"/>
    <x:tableColumn id="6" name="description"/>
    <x:tableColumn id="7" name="street"/>
    <x:tableColumn id="8" name="city"/>
    <x:tableColumn id="9" name="postal_code"/>
    <x:tableColumn id="10" name="latitude"/>
    <x:tableColumn id="11" name="longitude"/>
    <x:tableColumn id="12" name="phone"/>
    <x:tableColumn id="13" name="image_url"/>
    <x:tableColumn id="14" name="opening_time"/>
    <x:tableColumn id="15" name="closing_time"/>
    <x:tableColumn id="16" name="tags"/>
    <x:tableColumn id="17" name="is_verified"/>
    <x:tableColumn id="18" name="is_activ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oodPacksTable" displayName="FoodPacksTable" ref="A1:T121" headerRowCount="1" totalsRowCount="0" totalsRowShown="0">
  <x:tableColumns count="20">
    <x:tableColumn id="1" name="external_id"/>
    <x:tableColumn id="2" name="establishment_external_id"/>
    <x:tableColumn id="3" name="title"/>
    <x:tableColumn id="4" name="description"/>
    <x:tableColumn id="5" name="category"/>
    <x:tableColumn id="6" name="original_price_cents"/>
    <x:tableColumn id="7" name="sale_price_cents"/>
    <x:tableColumn id="8" name="stock_total"/>
    <x:tableColumn id="9" name="stock_remaining"/>
    <x:tableColumn id="10" name="publish_day_offset"/>
    <x:tableColumn id="11" name="pickup_day_offset"/>
    <x:tableColumn id="12" name="pickup_start_time"/>
    <x:tableColumn id="13" name="pickup_end_time"/>
    <x:tableColumn id="14" name="dietary_tags"/>
    <x:tableColumn id="15" name="allergens"/>
    <x:tableColumn id="16" name="image_url"/>
    <x:tableColumn id="17" name="status"/>
    <x:tableColumn id="18" name="is_featured"/>
    <x:tableColumn id="19" name="estimated_weight_grams"/>
    <x:tableColumn id="20" name="impact_co2_gram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eservationsTable" displayName="ReservationsTable" ref="A1:K181" headerRowCount="1" totalsRowCount="0" totalsRowShown="0">
  <x:tableColumns count="11">
    <x:tableColumn id="1" name="external_id"/>
    <x:tableColumn id="2" name="pack_external_id"/>
    <x:tableColumn id="3" name="user_external_id"/>
    <x:tableColumn id="4" name="quantity"/>
    <x:tableColumn id="5" name="status"/>
    <x:tableColumn id="6" name="created_day_offset"/>
    <x:tableColumn id="7" name="created_time"/>
    <x:tableColumn id="8" name="pickup_code"/>
    <x:tableColumn id="9" name="rating"/>
    <x:tableColumn id="10" name="review"/>
    <x:tableColumn id="11" name="cancel_reas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09115cc196c45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aa5a867cafb41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da46b28f09c4c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a915d0122a3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8" hidden="0" customWidth="1"/>
    <x:col min="4" max="4" width="23" hidden="0" customWidth="1"/>
    <x:col min="5" max="5" width="18" hidden="0" customWidth="1"/>
  </x:cols>
  <x:sheetData>
    <x:row r="1">
      <x:c r="A1" s="31" t="str">
        <x:v>RePlato · Dataset inicial</x:v>
      </x:c>
      <x:c r="B1" s="31"/>
      <x:c r="C1" s="31"/>
      <x:c r="D1" s="31"/>
      <x:c r="E1" s="31"/>
      <x:c r="F1" s="31"/>
      <x:c r="G1" s="31"/>
      <x:c r="H1" s="31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8" customHeight="1">
      <x:c r="A3" s="20" t="str">
        <x:v>Datos relacionados para crear la base de datos mediante las semillas de Node.js y fs.</x:v>
      </x:c>
      <x:c r="B3" s="20"/>
      <x:c r="C3" s="20"/>
      <x:c r="D3" s="20"/>
      <x:c r="E3" s="20"/>
      <x:c r="F3" s="20"/>
      <x:c r="G3" s="20"/>
      <x:c r="H3" s="20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22" t="str">
        <x:v>Colección</x:v>
      </x:c>
      <x:c r="B5" s="23" t="str">
        <x:v>Registros</x:v>
      </x:c>
      <x:c r="C5" s="21"/>
      <x:c r="D5" s="22" t="str">
        <x:v>Control</x:v>
      </x:c>
      <x:c r="E5" s="23" t="str">
        <x:v>Resultado</x:v>
      </x:c>
      <x:c r="F5" s="21"/>
      <x:c r="G5" s="21"/>
      <x:c r="H5" s="21"/>
    </x:row>
    <x:row r="6">
      <x:c r="A6" s="24" t="str">
        <x:v>Usuarios</x:v>
      </x:c>
      <x:c r="B6" s="25" t="n">
        <x:f>COUNTA('users'!A2:A41)</x:f>
        <x:v>40</x:v>
      </x:c>
      <x:c r="C6" s="21"/>
      <x:c r="D6" s="24" t="str">
        <x:v>Total de registros</x:v>
      </x:c>
      <x:c r="E6" s="25" t="n">
        <x:f>SUM(B6:B9)</x:f>
        <x:v>364</x:v>
      </x:c>
      <x:c r="F6" s="21"/>
      <x:c r="G6" s="21"/>
      <x:c r="H6" s="21"/>
    </x:row>
    <x:row r="7">
      <x:c r="A7" s="24" t="str">
        <x:v>Establecimientos</x:v>
      </x:c>
      <x:c r="B7" s="25" t="n">
        <x:f>COUNTA('establishments'!A2:A25)</x:f>
        <x:v>24</x:v>
      </x:c>
      <x:c r="C7" s="21"/>
      <x:c r="D7" s="24" t="str">
        <x:v>Colecciones relacionadas</x:v>
      </x:c>
      <x:c r="E7" s="25" t="n">
        <x:v>4</x:v>
      </x:c>
      <x:c r="F7" s="21"/>
      <x:c r="G7" s="21"/>
      <x:c r="H7" s="21"/>
    </x:row>
    <x:row r="8">
      <x:c r="A8" s="24" t="str">
        <x:v>Packs de comida</x:v>
      </x:c>
      <x:c r="B8" s="25" t="n">
        <x:f>COUNTA('food_packs'!A2:A121)</x:f>
        <x:v>120</x:v>
      </x:c>
      <x:c r="C8" s="21"/>
      <x:c r="D8" s="24" t="str">
        <x:v>Packs disponibles</x:v>
      </x:c>
      <x:c r="E8" s="25" t="n">
        <x:f>COUNTIF('food_packs'!Q2:Q121,"available")</x:f>
        <x:v>64</x:v>
      </x:c>
      <x:c r="F8" s="21"/>
      <x:c r="G8" s="21"/>
      <x:c r="H8" s="21"/>
    </x:row>
    <x:row r="9">
      <x:c r="A9" s="26" t="str">
        <x:v>Reservas</x:v>
      </x:c>
      <x:c r="B9" s="27" t="n">
        <x:f>COUNTA('reservations'!A2:A181)</x:f>
        <x:v>180</x:v>
      </x:c>
      <x:c r="C9" s="21"/>
      <x:c r="D9" s="24" t="str">
        <x:v>Usuarios partner</x:v>
      </x:c>
      <x:c r="E9" s="25" t="n">
        <x:f>COUNTIF('users'!D2:D41,"partner")</x:f>
        <x:v>12</x:v>
      </x:c>
      <x:c r="F9" s="21"/>
      <x:c r="G9" s="21"/>
      <x:c r="H9" s="21"/>
    </x:row>
    <x:row r="10">
      <x:c r="A10" s="21"/>
      <x:c r="B10" s="21"/>
      <x:c r="C10" s="21"/>
      <x:c r="D10" s="26" t="str">
        <x:v>Versión del dataset</x:v>
      </x:c>
      <x:c r="E10" s="27" t="str">
        <x:v>1.0.0</x:v>
      </x:c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 ht="26" customHeight="1">
      <x:c r="A12" s="28" t="str">
        <x:v>Relaciones entre colecciones</x:v>
      </x:c>
      <x:c r="B12" s="28"/>
      <x:c r="C12" s="28"/>
      <x:c r="D12" s="28"/>
      <x:c r="E12" s="28"/>
      <x:c r="F12" s="28"/>
      <x:c r="G12" s="28"/>
      <x:c r="H12" s="28"/>
    </x:row>
    <x:row r="13" ht="29" customHeight="1">
      <x:c r="A13" s="29" t="str">
        <x:v>Colección origen</x:v>
      </x:c>
      <x:c r="B13" s="29" t="str">
        <x:v>Campo</x:v>
      </x:c>
      <x:c r="C13" s="29" t="str">
        <x:v>Colección destino</x:v>
      </x:c>
      <x:c r="D13" s="29" t="str">
        <x:v>Campo destino</x:v>
      </x:c>
      <x:c r="E13" s="29" t="str">
        <x:v>Cardinalidad</x:v>
      </x:c>
      <x:c r="F13" s="21" t="str"/>
      <x:c r="G13" s="21" t="str"/>
      <x:c r="H13" s="21" t="str"/>
    </x:row>
    <x:row r="14" ht="29" customHeight="1">
      <x:c r="A14" s="30" t="str">
        <x:v>establishments</x:v>
      </x:c>
      <x:c r="B14" s="30" t="str">
        <x:v>owner_external_id</x:v>
      </x:c>
      <x:c r="C14" s="30" t="str">
        <x:v>users</x:v>
      </x:c>
      <x:c r="D14" s="30" t="str">
        <x:v>external_id</x:v>
      </x:c>
      <x:c r="E14" s="30" t="str">
        <x:v>N : 1</x:v>
      </x:c>
      <x:c r="F14" s="21" t="str"/>
      <x:c r="G14" s="21" t="str"/>
      <x:c r="H14" s="21" t="str"/>
    </x:row>
    <x:row r="15" ht="29" customHeight="1">
      <x:c r="A15" s="30" t="str">
        <x:v>food_packs</x:v>
      </x:c>
      <x:c r="B15" s="30" t="str">
        <x:v>establishment_external_id</x:v>
      </x:c>
      <x:c r="C15" s="30" t="str">
        <x:v>establishments</x:v>
      </x:c>
      <x:c r="D15" s="30" t="str">
        <x:v>external_id</x:v>
      </x:c>
      <x:c r="E15" s="30" t="str">
        <x:v>N : 1</x:v>
      </x:c>
      <x:c r="F15" s="21" t="str"/>
      <x:c r="G15" s="21" t="str"/>
      <x:c r="H15" s="21" t="str"/>
    </x:row>
    <x:row r="16" ht="29" customHeight="1">
      <x:c r="A16" s="30" t="str">
        <x:v>reservations</x:v>
      </x:c>
      <x:c r="B16" s="30" t="str">
        <x:v>pack_external_id / user_external_id</x:v>
      </x:c>
      <x:c r="C16" s="30" t="str">
        <x:v>food_packs / users</x:v>
      </x:c>
      <x:c r="D16" s="30" t="str">
        <x:v>external_id</x:v>
      </x:c>
      <x:c r="E16" s="30" t="str">
        <x:v>N : 1</x:v>
      </x:c>
      <x:c r="F16" s="21" t="str"/>
      <x:c r="G16" s="21" t="str"/>
      <x:c r="H16" s="21" t="str"/>
    </x:row>
  </x:sheetData>
  <x:mergeCells>
    <x:mergeCell ref="A1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2" hidden="0" customWidth="1"/>
  </x:cols>
  <x:sheetData>
    <x:row r="1" ht="28" customHeight="1">
      <x:c r="A1" s="32" t="str">
        <x:v>Catálogo</x:v>
      </x:c>
      <x:c r="B1" s="32" t="str">
        <x:v>Valores válidos</x:v>
      </x:c>
    </x:row>
    <x:row r="2" ht="24" customHeight="1">
      <x:c r="A2" s="33" t="str">
        <x:v>roles</x:v>
      </x:c>
      <x:c r="B2" s="33" t="str">
        <x:v>user | partner | admin</x:v>
      </x:c>
    </x:row>
    <x:row r="3" ht="24" customHeight="1">
      <x:c r="A3" s="34" t="str">
        <x:v>organization_categories</x:v>
      </x:c>
      <x:c r="B3" s="34" t="str">
        <x:v>bakery | greengrocer | restaurant | cafe | supermarket | prepared_food</x:v>
      </x:c>
    </x:row>
    <x:row r="4" ht="24" customHeight="1">
      <x:c r="A4" s="34" t="str">
        <x:v>pack_categories</x:v>
      </x:c>
      <x:c r="B4" s="34" t="str">
        <x:v>bakery | prepared_food | produce | breakfast | vegan | mixed</x:v>
      </x:c>
    </x:row>
    <x:row r="5" ht="24" customHeight="1">
      <x:c r="A5" s="34" t="str">
        <x:v>pack_statuses</x:v>
      </x:c>
      <x:c r="B5" s="34" t="str">
        <x:v>available | sold_out | expired | cancelled</x:v>
      </x:c>
    </x:row>
    <x:row r="6" ht="24" customHeight="1">
      <x:c r="A6" s="34" t="str">
        <x:v>reservation_statuses</x:v>
      </x:c>
      <x:c r="B6" s="34" t="str">
        <x:v>pending | confirmed | collected | cancelled</x:v>
      </x:c>
    </x:row>
    <x:row r="7" ht="24" customHeight="1">
      <x:c r="A7" s="34" t="str">
        <x:v>dietary_preferences</x:v>
      </x:c>
      <x:c r="B7" s="34" t="str">
        <x:v>vegetarian | vegan | gluten_free | lactose_free</x:v>
      </x:c>
    </x:row>
    <x:row r="8" ht="24" customHeight="1">
      <x:c r="A8" s="35" t="str">
        <x:v>allergens</x:v>
      </x:c>
      <x:c r="B8" s="35" t="str">
        <x:v>gluten | milk | egg | nuts | soy | fish | shellfish | sesame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  <x:col min="8" max="8" width="42" hidden="0" customWidth="1"/>
    <x:col min="9" max="9" width="28" hidden="0" customWidth="1"/>
    <x:col min="10" max="10" width="18" hidden="0" customWidth="1"/>
    <x:col min="11" max="11" width="12" hidden="0" customWidth="1"/>
  </x:cols>
  <x:sheetData>
    <x:row r="1" ht="30" customHeight="1">
      <x:c r="A1" s="38" t="str">
        <x:v>external_id</x:v>
      </x:c>
      <x:c r="B1" s="38" t="str">
        <x:v>full_name</x:v>
      </x:c>
      <x:c r="C1" s="38" t="str">
        <x:v>email</x:v>
      </x:c>
      <x:c r="D1" s="38" t="str">
        <x:v>role</x:v>
      </x:c>
      <x:c r="E1" s="38" t="str">
        <x:v>phone</x:v>
      </x:c>
      <x:c r="F1" s="38" t="str">
        <x:v>city</x:v>
      </x:c>
      <x:c r="G1" s="38" t="str">
        <x:v>postal_code</x:v>
      </x:c>
      <x:c r="H1" s="38" t="str">
        <x:v>avatar_url</x:v>
      </x:c>
      <x:c r="I1" s="38" t="str">
        <x:v>dietary_preferences</x:v>
      </x:c>
      <x:c r="J1" s="38" t="str">
        <x:v>newsletter_opt_in</x:v>
      </x:c>
      <x:c r="K1" s="38" t="str">
        <x:v>is_active</x:v>
      </x:c>
    </x:row>
    <x:row r="2" ht="22" customHeight="1">
      <x:c r="A2" s="41" t="str">
        <x:v>USR-ADM-001</x:v>
      </x:c>
      <x:c r="B2" s="41" t="str">
        <x:v>Alex Mendoza</x:v>
      </x:c>
      <x:c r="C2" s="41" t="str">
        <x:v>admin@replato.test</x:v>
      </x:c>
      <x:c r="D2" s="41" t="str">
        <x:v>admin</x:v>
      </x:c>
      <x:c r="E2" s="41" t="str">
        <x:v>600000001</x:v>
      </x:c>
      <x:c r="F2" s="41" t="str">
        <x:v>Madrid</x:v>
      </x:c>
      <x:c r="G2" s="41" t="str">
        <x:v>28001</x:v>
      </x:c>
      <x:c r="H2" s="41" t="str">
        <x:v>https://i.pravatar.cc/160?img=12</x:v>
      </x:c>
      <x:c r="I2" s="41" t="str"/>
      <x:c r="J2" s="42" t="b">
        <x:v>0</x:v>
      </x:c>
      <x:c r="K2" s="42" t="b">
        <x:v>1</x:v>
      </x:c>
    </x:row>
    <x:row r="3" ht="22" customHeight="1">
      <x:c r="A3" s="43" t="str">
        <x:v>USR-PAR-001</x:v>
      </x:c>
      <x:c r="B3" s="43" t="str">
        <x:v>Alba Romero</x:v>
      </x:c>
      <x:c r="C3" s="43" t="str">
        <x:v>partner@replato.test</x:v>
      </x:c>
      <x:c r="D3" s="43" t="str">
        <x:v>partner</x:v>
      </x:c>
      <x:c r="E3" s="43" t="str">
        <x:v>611000001</x:v>
      </x:c>
      <x:c r="F3" s="43" t="str">
        <x:v>Madrid</x:v>
      </x:c>
      <x:c r="G3" s="43" t="str">
        <x:v>28010</x:v>
      </x:c>
      <x:c r="H3" s="43" t="str">
        <x:v>https://i.pravatar.cc/160?img=20</x:v>
      </x:c>
      <x:c r="I3" s="43" t="str"/>
      <x:c r="J3" s="44" t="b">
        <x:v>1</x:v>
      </x:c>
      <x:c r="K3" s="44" t="b">
        <x:v>1</x:v>
      </x:c>
    </x:row>
    <x:row r="4" ht="22" customHeight="1">
      <x:c r="A4" s="43" t="str">
        <x:v>USR-PAR-002</x:v>
      </x:c>
      <x:c r="B4" s="43" t="str">
        <x:v>Bruno Martín</x:v>
      </x:c>
      <x:c r="C4" s="43" t="str">
        <x:v>partner2@replato.test</x:v>
      </x:c>
      <x:c r="D4" s="43" t="str">
        <x:v>partner</x:v>
      </x:c>
      <x:c r="E4" s="43" t="str">
        <x:v>611000002</x:v>
      </x:c>
      <x:c r="F4" s="43" t="str">
        <x:v>Barcelona</x:v>
      </x:c>
      <x:c r="G4" s="43" t="str">
        <x:v>08011</x:v>
      </x:c>
      <x:c r="H4" s="43" t="str">
        <x:v>https://i.pravatar.cc/160?img=21</x:v>
      </x:c>
      <x:c r="I4" s="43" t="str"/>
      <x:c r="J4" s="44" t="b">
        <x:v>0</x:v>
      </x:c>
      <x:c r="K4" s="44" t="b">
        <x:v>1</x:v>
      </x:c>
    </x:row>
    <x:row r="5" ht="22" customHeight="1">
      <x:c r="A5" s="43" t="str">
        <x:v>USR-PAR-003</x:v>
      </x:c>
      <x:c r="B5" s="43" t="str">
        <x:v>Carla Navarro</x:v>
      </x:c>
      <x:c r="C5" s="43" t="str">
        <x:v>partner3@replato.test</x:v>
      </x:c>
      <x:c r="D5" s="43" t="str">
        <x:v>partner</x:v>
      </x:c>
      <x:c r="E5" s="43" t="str">
        <x:v>611000003</x:v>
      </x:c>
      <x:c r="F5" s="43" t="str">
        <x:v>Valencia</x:v>
      </x:c>
      <x:c r="G5" s="43" t="str">
        <x:v>46012</x:v>
      </x:c>
      <x:c r="H5" s="43" t="str">
        <x:v>https://i.pravatar.cc/160?img=22</x:v>
      </x:c>
      <x:c r="I5" s="43" t="str"/>
      <x:c r="J5" s="44" t="b">
        <x:v>1</x:v>
      </x:c>
      <x:c r="K5" s="44" t="b">
        <x:v>1</x:v>
      </x:c>
    </x:row>
    <x:row r="6" ht="22" customHeight="1">
      <x:c r="A6" s="43" t="str">
        <x:v>USR-PAR-004</x:v>
      </x:c>
      <x:c r="B6" s="43" t="str">
        <x:v>Diego Santos</x:v>
      </x:c>
      <x:c r="C6" s="43" t="str">
        <x:v>partner4@replato.test</x:v>
      </x:c>
      <x:c r="D6" s="43" t="str">
        <x:v>partner</x:v>
      </x:c>
      <x:c r="E6" s="43" t="str">
        <x:v>611000004</x:v>
      </x:c>
      <x:c r="F6" s="43" t="str">
        <x:v>Sevilla</x:v>
      </x:c>
      <x:c r="G6" s="43" t="str">
        <x:v>41013</x:v>
      </x:c>
      <x:c r="H6" s="43" t="str">
        <x:v>https://i.pravatar.cc/160?img=23</x:v>
      </x:c>
      <x:c r="I6" s="43" t="str"/>
      <x:c r="J6" s="44" t="b">
        <x:v>0</x:v>
      </x:c>
      <x:c r="K6" s="44" t="b">
        <x:v>1</x:v>
      </x:c>
    </x:row>
    <x:row r="7" ht="22" customHeight="1">
      <x:c r="A7" s="43" t="str">
        <x:v>USR-PAR-005</x:v>
      </x:c>
      <x:c r="B7" s="43" t="str">
        <x:v>Elena Castro</x:v>
      </x:c>
      <x:c r="C7" s="43" t="str">
        <x:v>partner5@replato.test</x:v>
      </x:c>
      <x:c r="D7" s="43" t="str">
        <x:v>partner</x:v>
      </x:c>
      <x:c r="E7" s="43" t="str">
        <x:v>611000005</x:v>
      </x:c>
      <x:c r="F7" s="43" t="str">
        <x:v>Málaga</x:v>
      </x:c>
      <x:c r="G7" s="43" t="str">
        <x:v>29014</x:v>
      </x:c>
      <x:c r="H7" s="43" t="str">
        <x:v>https://i.pravatar.cc/160?img=24</x:v>
      </x:c>
      <x:c r="I7" s="43" t="str"/>
      <x:c r="J7" s="44" t="b">
        <x:v>1</x:v>
      </x:c>
      <x:c r="K7" s="44" t="b">
        <x:v>1</x:v>
      </x:c>
    </x:row>
    <x:row r="8" ht="22" customHeight="1">
      <x:c r="A8" s="43" t="str">
        <x:v>USR-PAR-006</x:v>
      </x:c>
      <x:c r="B8" s="43" t="str">
        <x:v>Fabio Ruiz</x:v>
      </x:c>
      <x:c r="C8" s="43" t="str">
        <x:v>partner6@replato.test</x:v>
      </x:c>
      <x:c r="D8" s="43" t="str">
        <x:v>partner</x:v>
      </x:c>
      <x:c r="E8" s="43" t="str">
        <x:v>611000006</x:v>
      </x:c>
      <x:c r="F8" s="43" t="str">
        <x:v>Bilbao</x:v>
      </x:c>
      <x:c r="G8" s="43" t="str">
        <x:v>48015</x:v>
      </x:c>
      <x:c r="H8" s="43" t="str">
        <x:v>https://i.pravatar.cc/160?img=25</x:v>
      </x:c>
      <x:c r="I8" s="43" t="str"/>
      <x:c r="J8" s="44" t="b">
        <x:v>0</x:v>
      </x:c>
      <x:c r="K8" s="44" t="b">
        <x:v>1</x:v>
      </x:c>
    </x:row>
    <x:row r="9" ht="22" customHeight="1">
      <x:c r="A9" s="43" t="str">
        <x:v>USR-PAR-007</x:v>
      </x:c>
      <x:c r="B9" s="43" t="str">
        <x:v>Gloria Ortega</x:v>
      </x:c>
      <x:c r="C9" s="43" t="str">
        <x:v>partner7@replato.test</x:v>
      </x:c>
      <x:c r="D9" s="43" t="str">
        <x:v>partner</x:v>
      </x:c>
      <x:c r="E9" s="43" t="str">
        <x:v>611000007</x:v>
      </x:c>
      <x:c r="F9" s="43" t="str">
        <x:v>Zaragoza</x:v>
      </x:c>
      <x:c r="G9" s="43" t="str">
        <x:v>50016</x:v>
      </x:c>
      <x:c r="H9" s="43" t="str">
        <x:v>https://i.pravatar.cc/160?img=26</x:v>
      </x:c>
      <x:c r="I9" s="43" t="str"/>
      <x:c r="J9" s="44" t="b">
        <x:v>1</x:v>
      </x:c>
      <x:c r="K9" s="44" t="b">
        <x:v>1</x:v>
      </x:c>
    </x:row>
    <x:row r="10" ht="22" customHeight="1">
      <x:c r="A10" s="43" t="str">
        <x:v>USR-PAR-008</x:v>
      </x:c>
      <x:c r="B10" s="43" t="str">
        <x:v>Hugo Vega</x:v>
      </x:c>
      <x:c r="C10" s="43" t="str">
        <x:v>partner8@replato.test</x:v>
      </x:c>
      <x:c r="D10" s="43" t="str">
        <x:v>partner</x:v>
      </x:c>
      <x:c r="E10" s="43" t="str">
        <x:v>611000008</x:v>
      </x:c>
      <x:c r="F10" s="43" t="str">
        <x:v>Alicante</x:v>
      </x:c>
      <x:c r="G10" s="43" t="str">
        <x:v>03017</x:v>
      </x:c>
      <x:c r="H10" s="43" t="str">
        <x:v>https://i.pravatar.cc/160?img=27</x:v>
      </x:c>
      <x:c r="I10" s="43" t="str"/>
      <x:c r="J10" s="44" t="b">
        <x:v>0</x:v>
      </x:c>
      <x:c r="K10" s="44" t="b">
        <x:v>1</x:v>
      </x:c>
    </x:row>
    <x:row r="11" ht="22" customHeight="1">
      <x:c r="A11" s="43" t="str">
        <x:v>USR-PAR-009</x:v>
      </x:c>
      <x:c r="B11" s="43" t="str">
        <x:v>Inés Molina</x:v>
      </x:c>
      <x:c r="C11" s="43" t="str">
        <x:v>partner9@replato.test</x:v>
      </x:c>
      <x:c r="D11" s="43" t="str">
        <x:v>partner</x:v>
      </x:c>
      <x:c r="E11" s="43" t="str">
        <x:v>611000009</x:v>
      </x:c>
      <x:c r="F11" s="43" t="str">
        <x:v>Madrid</x:v>
      </x:c>
      <x:c r="G11" s="43" t="str">
        <x:v>28018</x:v>
      </x:c>
      <x:c r="H11" s="43" t="str">
        <x:v>https://i.pravatar.cc/160?img=28</x:v>
      </x:c>
      <x:c r="I11" s="43" t="str"/>
      <x:c r="J11" s="44" t="b">
        <x:v>1</x:v>
      </x:c>
      <x:c r="K11" s="44" t="b">
        <x:v>1</x:v>
      </x:c>
    </x:row>
    <x:row r="12" ht="22" customHeight="1">
      <x:c r="A12" s="43" t="str">
        <x:v>USR-PAR-010</x:v>
      </x:c>
      <x:c r="B12" s="43" t="str">
        <x:v>Javier León</x:v>
      </x:c>
      <x:c r="C12" s="43" t="str">
        <x:v>partner10@replato.test</x:v>
      </x:c>
      <x:c r="D12" s="43" t="str">
        <x:v>partner</x:v>
      </x:c>
      <x:c r="E12" s="43" t="str">
        <x:v>611000010</x:v>
      </x:c>
      <x:c r="F12" s="43" t="str">
        <x:v>Barcelona</x:v>
      </x:c>
      <x:c r="G12" s="43" t="str">
        <x:v>08019</x:v>
      </x:c>
      <x:c r="H12" s="43" t="str">
        <x:v>https://i.pravatar.cc/160?img=29</x:v>
      </x:c>
      <x:c r="I12" s="43" t="str"/>
      <x:c r="J12" s="44" t="b">
        <x:v>0</x:v>
      </x:c>
      <x:c r="K12" s="44" t="b">
        <x:v>1</x:v>
      </x:c>
    </x:row>
    <x:row r="13" ht="22" customHeight="1">
      <x:c r="A13" s="43" t="str">
        <x:v>USR-PAR-011</x:v>
      </x:c>
      <x:c r="B13" s="43" t="str">
        <x:v>Lara Campos</x:v>
      </x:c>
      <x:c r="C13" s="43" t="str">
        <x:v>partner11@replato.test</x:v>
      </x:c>
      <x:c r="D13" s="43" t="str">
        <x:v>partner</x:v>
      </x:c>
      <x:c r="E13" s="43" t="str">
        <x:v>611000011</x:v>
      </x:c>
      <x:c r="F13" s="43" t="str">
        <x:v>Valencia</x:v>
      </x:c>
      <x:c r="G13" s="43" t="str">
        <x:v>46020</x:v>
      </x:c>
      <x:c r="H13" s="43" t="str">
        <x:v>https://i.pravatar.cc/160?img=30</x:v>
      </x:c>
      <x:c r="I13" s="43" t="str"/>
      <x:c r="J13" s="44" t="b">
        <x:v>1</x:v>
      </x:c>
      <x:c r="K13" s="44" t="b">
        <x:v>1</x:v>
      </x:c>
    </x:row>
    <x:row r="14" ht="22" customHeight="1">
      <x:c r="A14" s="43" t="str">
        <x:v>USR-PAR-012</x:v>
      </x:c>
      <x:c r="B14" s="43" t="str">
        <x:v>Marcos Vidal</x:v>
      </x:c>
      <x:c r="C14" s="43" t="str">
        <x:v>partner12@replato.test</x:v>
      </x:c>
      <x:c r="D14" s="43" t="str">
        <x:v>partner</x:v>
      </x:c>
      <x:c r="E14" s="43" t="str">
        <x:v>611000012</x:v>
      </x:c>
      <x:c r="F14" s="43" t="str">
        <x:v>Sevilla</x:v>
      </x:c>
      <x:c r="G14" s="43" t="str">
        <x:v>41021</x:v>
      </x:c>
      <x:c r="H14" s="43" t="str">
        <x:v>https://i.pravatar.cc/160?img=31</x:v>
      </x:c>
      <x:c r="I14" s="43" t="str"/>
      <x:c r="J14" s="44" t="b">
        <x:v>0</x:v>
      </x:c>
      <x:c r="K14" s="44" t="b">
        <x:v>1</x:v>
      </x:c>
    </x:row>
    <x:row r="15" ht="22" customHeight="1">
      <x:c r="A15" s="43" t="str">
        <x:v>USR-CLI-001</x:v>
      </x:c>
      <x:c r="B15" s="43" t="str">
        <x:v>Nora Pérez</x:v>
      </x:c>
      <x:c r="C15" s="43" t="str">
        <x:v>user@replato.test</x:v>
      </x:c>
      <x:c r="D15" s="43" t="str">
        <x:v>user</x:v>
      </x:c>
      <x:c r="E15" s="43" t="str">
        <x:v>622000001</x:v>
      </x:c>
      <x:c r="F15" s="43" t="str">
        <x:v>Madrid</x:v>
      </x:c>
      <x:c r="G15" s="43" t="str">
        <x:v>28010</x:v>
      </x:c>
      <x:c r="H15" s="43" t="str">
        <x:v>https://i.pravatar.cc/160?img=40</x:v>
      </x:c>
      <x:c r="I15" s="43" t="str"/>
      <x:c r="J15" s="44" t="b">
        <x:v>0</x:v>
      </x:c>
      <x:c r="K15" s="44" t="b">
        <x:v>1</x:v>
      </x:c>
    </x:row>
    <x:row r="16" ht="22" customHeight="1">
      <x:c r="A16" s="43" t="str">
        <x:v>USR-CLI-002</x:v>
      </x:c>
      <x:c r="B16" s="43" t="str">
        <x:v>Óscar Gil</x:v>
      </x:c>
      <x:c r="C16" s="43" t="str">
        <x:v>user2@replato.test</x:v>
      </x:c>
      <x:c r="D16" s="43" t="str">
        <x:v>user</x:v>
      </x:c>
      <x:c r="E16" s="43" t="str">
        <x:v>622000002</x:v>
      </x:c>
      <x:c r="F16" s="43" t="str">
        <x:v>Barcelona</x:v>
      </x:c>
      <x:c r="G16" s="43" t="str">
        <x:v>08011</x:v>
      </x:c>
      <x:c r="H16" s="43" t="str">
        <x:v>https://i.pravatar.cc/160?img=41</x:v>
      </x:c>
      <x:c r="I16" s="43" t="str">
        <x:v>vegetarian</x:v>
      </x:c>
      <x:c r="J16" s="44" t="b">
        <x:v>1</x:v>
      </x:c>
      <x:c r="K16" s="44" t="b">
        <x:v>1</x:v>
      </x:c>
    </x:row>
    <x:row r="17" ht="22" customHeight="1">
      <x:c r="A17" s="43" t="str">
        <x:v>USR-CLI-003</x:v>
      </x:c>
      <x:c r="B17" s="43" t="str">
        <x:v>Paula Ríos</x:v>
      </x:c>
      <x:c r="C17" s="43" t="str">
        <x:v>user3@replato.test</x:v>
      </x:c>
      <x:c r="D17" s="43" t="str">
        <x:v>user</x:v>
      </x:c>
      <x:c r="E17" s="43" t="str">
        <x:v>622000003</x:v>
      </x:c>
      <x:c r="F17" s="43" t="str">
        <x:v>Valencia</x:v>
      </x:c>
      <x:c r="G17" s="43" t="str">
        <x:v>46012</x:v>
      </x:c>
      <x:c r="H17" s="43" t="str">
        <x:v>https://i.pravatar.cc/160?img=42</x:v>
      </x:c>
      <x:c r="I17" s="43" t="str">
        <x:v>vegan</x:v>
      </x:c>
      <x:c r="J17" s="44" t="b">
        <x:v>1</x:v>
      </x:c>
      <x:c r="K17" s="44" t="b">
        <x:v>1</x:v>
      </x:c>
    </x:row>
    <x:row r="18" ht="22" customHeight="1">
      <x:c r="A18" s="43" t="str">
        <x:v>USR-CLI-004</x:v>
      </x:c>
      <x:c r="B18" s="43" t="str">
        <x:v>Quim Serra</x:v>
      </x:c>
      <x:c r="C18" s="43" t="str">
        <x:v>user4@replato.test</x:v>
      </x:c>
      <x:c r="D18" s="43" t="str">
        <x:v>user</x:v>
      </x:c>
      <x:c r="E18" s="43" t="str">
        <x:v>622000004</x:v>
      </x:c>
      <x:c r="F18" s="43" t="str">
        <x:v>Sevilla</x:v>
      </x:c>
      <x:c r="G18" s="43" t="str">
        <x:v>41013</x:v>
      </x:c>
      <x:c r="H18" s="43" t="str">
        <x:v>https://i.pravatar.cc/160?img=43</x:v>
      </x:c>
      <x:c r="I18" s="43" t="str">
        <x:v>gluten_free</x:v>
      </x:c>
      <x:c r="J18" s="44" t="b">
        <x:v>0</x:v>
      </x:c>
      <x:c r="K18" s="44" t="b">
        <x:v>1</x:v>
      </x:c>
    </x:row>
    <x:row r="19" ht="22" customHeight="1">
      <x:c r="A19" s="43" t="str">
        <x:v>USR-CLI-005</x:v>
      </x:c>
      <x:c r="B19" s="43" t="str">
        <x:v>Rocío Cano</x:v>
      </x:c>
      <x:c r="C19" s="43" t="str">
        <x:v>user5@replato.test</x:v>
      </x:c>
      <x:c r="D19" s="43" t="str">
        <x:v>user</x:v>
      </x:c>
      <x:c r="E19" s="43" t="str">
        <x:v>622000005</x:v>
      </x:c>
      <x:c r="F19" s="43" t="str">
        <x:v>Málaga</x:v>
      </x:c>
      <x:c r="G19" s="43" t="str">
        <x:v>29014</x:v>
      </x:c>
      <x:c r="H19" s="43" t="str">
        <x:v>https://i.pravatar.cc/160?img=44</x:v>
      </x:c>
      <x:c r="I19" s="43" t="str">
        <x:v>lactose_free</x:v>
      </x:c>
      <x:c r="J19" s="44" t="b">
        <x:v>1</x:v>
      </x:c>
      <x:c r="K19" s="44" t="b">
        <x:v>1</x:v>
      </x:c>
    </x:row>
    <x:row r="20" ht="22" customHeight="1">
      <x:c r="A20" s="43" t="str">
        <x:v>USR-CLI-006</x:v>
      </x:c>
      <x:c r="B20" s="43" t="str">
        <x:v>Sergio Mora</x:v>
      </x:c>
      <x:c r="C20" s="43" t="str">
        <x:v>user6@replato.test</x:v>
      </x:c>
      <x:c r="D20" s="43" t="str">
        <x:v>user</x:v>
      </x:c>
      <x:c r="E20" s="43" t="str">
        <x:v>622000006</x:v>
      </x:c>
      <x:c r="F20" s="43" t="str">
        <x:v>Bilbao</x:v>
      </x:c>
      <x:c r="G20" s="43" t="str">
        <x:v>48015</x:v>
      </x:c>
      <x:c r="H20" s="43" t="str">
        <x:v>https://i.pravatar.cc/160?img=45</x:v>
      </x:c>
      <x:c r="I20" s="43" t="str"/>
      <x:c r="J20" s="44" t="b">
        <x:v>1</x:v>
      </x:c>
      <x:c r="K20" s="44" t="b">
        <x:v>1</x:v>
      </x:c>
    </x:row>
    <x:row r="21" ht="22" customHeight="1">
      <x:c r="A21" s="43" t="str">
        <x:v>USR-CLI-007</x:v>
      </x:c>
      <x:c r="B21" s="43" t="str">
        <x:v>Teresa Nieto</x:v>
      </x:c>
      <x:c r="C21" s="43" t="str">
        <x:v>user7@replato.test</x:v>
      </x:c>
      <x:c r="D21" s="43" t="str">
        <x:v>user</x:v>
      </x:c>
      <x:c r="E21" s="43" t="str">
        <x:v>622000007</x:v>
      </x:c>
      <x:c r="F21" s="43" t="str">
        <x:v>Zaragoza</x:v>
      </x:c>
      <x:c r="G21" s="43" t="str">
        <x:v>50016</x:v>
      </x:c>
      <x:c r="H21" s="43" t="str">
        <x:v>https://i.pravatar.cc/160?img=46</x:v>
      </x:c>
      <x:c r="I21" s="43" t="str">
        <x:v>vegetarian</x:v>
      </x:c>
      <x:c r="J21" s="44" t="b">
        <x:v>0</x:v>
      </x:c>
      <x:c r="K21" s="44" t="b">
        <x:v>1</x:v>
      </x:c>
    </x:row>
    <x:row r="22" ht="22" customHeight="1">
      <x:c r="A22" s="43" t="str">
        <x:v>USR-CLI-008</x:v>
      </x:c>
      <x:c r="B22" s="43" t="str">
        <x:v>Unai Blanco</x:v>
      </x:c>
      <x:c r="C22" s="43" t="str">
        <x:v>user8@replato.test</x:v>
      </x:c>
      <x:c r="D22" s="43" t="str">
        <x:v>user</x:v>
      </x:c>
      <x:c r="E22" s="43" t="str">
        <x:v>622000008</x:v>
      </x:c>
      <x:c r="F22" s="43" t="str">
        <x:v>Alicante</x:v>
      </x:c>
      <x:c r="G22" s="43" t="str">
        <x:v>03017</x:v>
      </x:c>
      <x:c r="H22" s="43" t="str">
        <x:v>https://i.pravatar.cc/160?img=47</x:v>
      </x:c>
      <x:c r="I22" s="43" t="str">
        <x:v>vegan</x:v>
      </x:c>
      <x:c r="J22" s="44" t="b">
        <x:v>1</x:v>
      </x:c>
      <x:c r="K22" s="44" t="b">
        <x:v>1</x:v>
      </x:c>
    </x:row>
    <x:row r="23" ht="22" customHeight="1">
      <x:c r="A23" s="43" t="str">
        <x:v>USR-CLI-009</x:v>
      </x:c>
      <x:c r="B23" s="43" t="str">
        <x:v>Vera Soto</x:v>
      </x:c>
      <x:c r="C23" s="43" t="str">
        <x:v>user9@replato.test</x:v>
      </x:c>
      <x:c r="D23" s="43" t="str">
        <x:v>user</x:v>
      </x:c>
      <x:c r="E23" s="43" t="str">
        <x:v>622000009</x:v>
      </x:c>
      <x:c r="F23" s="43" t="str">
        <x:v>Madrid</x:v>
      </x:c>
      <x:c r="G23" s="43" t="str">
        <x:v>28018</x:v>
      </x:c>
      <x:c r="H23" s="43" t="str">
        <x:v>https://i.pravatar.cc/160?img=48</x:v>
      </x:c>
      <x:c r="I23" s="43" t="str">
        <x:v>gluten_free</x:v>
      </x:c>
      <x:c r="J23" s="44" t="b">
        <x:v>1</x:v>
      </x:c>
      <x:c r="K23" s="44" t="b">
        <x:v>1</x:v>
      </x:c>
    </x:row>
    <x:row r="24" ht="22" customHeight="1">
      <x:c r="A24" s="43" t="str">
        <x:v>USR-CLI-010</x:v>
      </x:c>
      <x:c r="B24" s="43" t="str">
        <x:v>Yago Marín</x:v>
      </x:c>
      <x:c r="C24" s="43" t="str">
        <x:v>user10@replato.test</x:v>
      </x:c>
      <x:c r="D24" s="43" t="str">
        <x:v>user</x:v>
      </x:c>
      <x:c r="E24" s="43" t="str">
        <x:v>622000010</x:v>
      </x:c>
      <x:c r="F24" s="43" t="str">
        <x:v>Barcelona</x:v>
      </x:c>
      <x:c r="G24" s="43" t="str">
        <x:v>08019</x:v>
      </x:c>
      <x:c r="H24" s="43" t="str">
        <x:v>https://i.pravatar.cc/160?img=49</x:v>
      </x:c>
      <x:c r="I24" s="43" t="str">
        <x:v>lactose_free</x:v>
      </x:c>
      <x:c r="J24" s="44" t="b">
        <x:v>0</x:v>
      </x:c>
      <x:c r="K24" s="44" t="b">
        <x:v>1</x:v>
      </x:c>
    </x:row>
    <x:row r="25" ht="22" customHeight="1">
      <x:c r="A25" s="43" t="str">
        <x:v>USR-CLI-011</x:v>
      </x:c>
      <x:c r="B25" s="43" t="str">
        <x:v>Aina López</x:v>
      </x:c>
      <x:c r="C25" s="43" t="str">
        <x:v>user11@replato.test</x:v>
      </x:c>
      <x:c r="D25" s="43" t="str">
        <x:v>user</x:v>
      </x:c>
      <x:c r="E25" s="43" t="str">
        <x:v>622000011</x:v>
      </x:c>
      <x:c r="F25" s="43" t="str">
        <x:v>Valencia</x:v>
      </x:c>
      <x:c r="G25" s="43" t="str">
        <x:v>46020</x:v>
      </x:c>
      <x:c r="H25" s="43" t="str">
        <x:v>https://i.pravatar.cc/160?img=50</x:v>
      </x:c>
      <x:c r="I25" s="43" t="str"/>
      <x:c r="J25" s="44" t="b">
        <x:v>1</x:v>
      </x:c>
      <x:c r="K25" s="44" t="b">
        <x:v>1</x:v>
      </x:c>
    </x:row>
    <x:row r="26" ht="22" customHeight="1">
      <x:c r="A26" s="43" t="str">
        <x:v>USR-CLI-012</x:v>
      </x:c>
      <x:c r="B26" s="43" t="str">
        <x:v>Borja Ferrer</x:v>
      </x:c>
      <x:c r="C26" s="43" t="str">
        <x:v>user12@replato.test</x:v>
      </x:c>
      <x:c r="D26" s="43" t="str">
        <x:v>user</x:v>
      </x:c>
      <x:c r="E26" s="43" t="str">
        <x:v>622000012</x:v>
      </x:c>
      <x:c r="F26" s="43" t="str">
        <x:v>Sevilla</x:v>
      </x:c>
      <x:c r="G26" s="43" t="str">
        <x:v>41021</x:v>
      </x:c>
      <x:c r="H26" s="43" t="str">
        <x:v>https://i.pravatar.cc/160?img=51</x:v>
      </x:c>
      <x:c r="I26" s="43" t="str">
        <x:v>vegetarian</x:v>
      </x:c>
      <x:c r="J26" s="44" t="b">
        <x:v>1</x:v>
      </x:c>
      <x:c r="K26" s="44" t="b">
        <x:v>1</x:v>
      </x:c>
    </x:row>
    <x:row r="27" ht="22" customHeight="1">
      <x:c r="A27" s="43" t="str">
        <x:v>USR-CLI-013</x:v>
      </x:c>
      <x:c r="B27" s="43" t="str">
        <x:v>Claudia Luna</x:v>
      </x:c>
      <x:c r="C27" s="43" t="str">
        <x:v>user13@replato.test</x:v>
      </x:c>
      <x:c r="D27" s="43" t="str">
        <x:v>user</x:v>
      </x:c>
      <x:c r="E27" s="43" t="str">
        <x:v>622000013</x:v>
      </x:c>
      <x:c r="F27" s="43" t="str">
        <x:v>Málaga</x:v>
      </x:c>
      <x:c r="G27" s="43" t="str">
        <x:v>29022</x:v>
      </x:c>
      <x:c r="H27" s="43" t="str">
        <x:v>https://i.pravatar.cc/160?img=52</x:v>
      </x:c>
      <x:c r="I27" s="43" t="str">
        <x:v>vegan</x:v>
      </x:c>
      <x:c r="J27" s="44" t="b">
        <x:v>0</x:v>
      </x:c>
      <x:c r="K27" s="44" t="b">
        <x:v>1</x:v>
      </x:c>
    </x:row>
    <x:row r="28" ht="22" customHeight="1">
      <x:c r="A28" s="43" t="str">
        <x:v>USR-CLI-014</x:v>
      </x:c>
      <x:c r="B28" s="43" t="str">
        <x:v>Dani Calvo</x:v>
      </x:c>
      <x:c r="C28" s="43" t="str">
        <x:v>user14@replato.test</x:v>
      </x:c>
      <x:c r="D28" s="43" t="str">
        <x:v>user</x:v>
      </x:c>
      <x:c r="E28" s="43" t="str">
        <x:v>622000014</x:v>
      </x:c>
      <x:c r="F28" s="43" t="str">
        <x:v>Bilbao</x:v>
      </x:c>
      <x:c r="G28" s="43" t="str">
        <x:v>48023</x:v>
      </x:c>
      <x:c r="H28" s="43" t="str">
        <x:v>https://i.pravatar.cc/160?img=53</x:v>
      </x:c>
      <x:c r="I28" s="43" t="str">
        <x:v>gluten_free</x:v>
      </x:c>
      <x:c r="J28" s="44" t="b">
        <x:v>1</x:v>
      </x:c>
      <x:c r="K28" s="44" t="b">
        <x:v>1</x:v>
      </x:c>
    </x:row>
    <x:row r="29" ht="22" customHeight="1">
      <x:c r="A29" s="43" t="str">
        <x:v>USR-CLI-015</x:v>
      </x:c>
      <x:c r="B29" s="43" t="str">
        <x:v>Eva Prieto</x:v>
      </x:c>
      <x:c r="C29" s="43" t="str">
        <x:v>user15@replato.test</x:v>
      </x:c>
      <x:c r="D29" s="43" t="str">
        <x:v>user</x:v>
      </x:c>
      <x:c r="E29" s="43" t="str">
        <x:v>622000015</x:v>
      </x:c>
      <x:c r="F29" s="43" t="str">
        <x:v>Zaragoza</x:v>
      </x:c>
      <x:c r="G29" s="43" t="str">
        <x:v>50024</x:v>
      </x:c>
      <x:c r="H29" s="43" t="str">
        <x:v>https://i.pravatar.cc/160?img=54</x:v>
      </x:c>
      <x:c r="I29" s="43" t="str">
        <x:v>lactose_free</x:v>
      </x:c>
      <x:c r="J29" s="44" t="b">
        <x:v>1</x:v>
      </x:c>
      <x:c r="K29" s="44" t="b">
        <x:v>1</x:v>
      </x:c>
    </x:row>
    <x:row r="30" ht="22" customHeight="1">
      <x:c r="A30" s="43" t="str">
        <x:v>USR-CLI-016</x:v>
      </x:c>
      <x:c r="B30" s="43" t="str">
        <x:v>Fran Ramos</x:v>
      </x:c>
      <x:c r="C30" s="43" t="str">
        <x:v>user16@replato.test</x:v>
      </x:c>
      <x:c r="D30" s="43" t="str">
        <x:v>user</x:v>
      </x:c>
      <x:c r="E30" s="43" t="str">
        <x:v>622000016</x:v>
      </x:c>
      <x:c r="F30" s="43" t="str">
        <x:v>Alicante</x:v>
      </x:c>
      <x:c r="G30" s="43" t="str">
        <x:v>03025</x:v>
      </x:c>
      <x:c r="H30" s="43" t="str">
        <x:v>https://i.pravatar.cc/160?img=55</x:v>
      </x:c>
      <x:c r="I30" s="43" t="str"/>
      <x:c r="J30" s="44" t="b">
        <x:v>0</x:v>
      </x:c>
      <x:c r="K30" s="44" t="b">
        <x:v>1</x:v>
      </x:c>
    </x:row>
    <x:row r="31" ht="22" customHeight="1">
      <x:c r="A31" s="43" t="str">
        <x:v>USR-CLI-017</x:v>
      </x:c>
      <x:c r="B31" s="43" t="str">
        <x:v>Gema Soler</x:v>
      </x:c>
      <x:c r="C31" s="43" t="str">
        <x:v>user17@replato.test</x:v>
      </x:c>
      <x:c r="D31" s="43" t="str">
        <x:v>user</x:v>
      </x:c>
      <x:c r="E31" s="43" t="str">
        <x:v>622000017</x:v>
      </x:c>
      <x:c r="F31" s="43" t="str">
        <x:v>Madrid</x:v>
      </x:c>
      <x:c r="G31" s="43" t="str">
        <x:v>28026</x:v>
      </x:c>
      <x:c r="H31" s="43" t="str">
        <x:v>https://i.pravatar.cc/160?img=56</x:v>
      </x:c>
      <x:c r="I31" s="43" t="str">
        <x:v>vegetarian</x:v>
      </x:c>
      <x:c r="J31" s="44" t="b">
        <x:v>1</x:v>
      </x:c>
      <x:c r="K31" s="44" t="b">
        <x:v>1</x:v>
      </x:c>
    </x:row>
    <x:row r="32" ht="22" customHeight="1">
      <x:c r="A32" s="43" t="str">
        <x:v>USR-CLI-018</x:v>
      </x:c>
      <x:c r="B32" s="43" t="str">
        <x:v>Helena Pascual</x:v>
      </x:c>
      <x:c r="C32" s="43" t="str">
        <x:v>user18@replato.test</x:v>
      </x:c>
      <x:c r="D32" s="43" t="str">
        <x:v>user</x:v>
      </x:c>
      <x:c r="E32" s="43" t="str">
        <x:v>622000018</x:v>
      </x:c>
      <x:c r="F32" s="43" t="str">
        <x:v>Barcelona</x:v>
      </x:c>
      <x:c r="G32" s="43" t="str">
        <x:v>08027</x:v>
      </x:c>
      <x:c r="H32" s="43" t="str">
        <x:v>https://i.pravatar.cc/160?img=57</x:v>
      </x:c>
      <x:c r="I32" s="43" t="str">
        <x:v>vegan</x:v>
      </x:c>
      <x:c r="J32" s="44" t="b">
        <x:v>1</x:v>
      </x:c>
      <x:c r="K32" s="44" t="b">
        <x:v>1</x:v>
      </x:c>
    </x:row>
    <x:row r="33" ht="22" customHeight="1">
      <x:c r="A33" s="43" t="str">
        <x:v>USR-CLI-019</x:v>
      </x:c>
      <x:c r="B33" s="43" t="str">
        <x:v>Iván Rey</x:v>
      </x:c>
      <x:c r="C33" s="43" t="str">
        <x:v>user19@replato.test</x:v>
      </x:c>
      <x:c r="D33" s="43" t="str">
        <x:v>user</x:v>
      </x:c>
      <x:c r="E33" s="43" t="str">
        <x:v>622000019</x:v>
      </x:c>
      <x:c r="F33" s="43" t="str">
        <x:v>Valencia</x:v>
      </x:c>
      <x:c r="G33" s="43" t="str">
        <x:v>46028</x:v>
      </x:c>
      <x:c r="H33" s="43" t="str">
        <x:v>https://i.pravatar.cc/160?img=58</x:v>
      </x:c>
      <x:c r="I33" s="43" t="str">
        <x:v>gluten_free</x:v>
      </x:c>
      <x:c r="J33" s="44" t="b">
        <x:v>0</x:v>
      </x:c>
      <x:c r="K33" s="44" t="b">
        <x:v>1</x:v>
      </x:c>
    </x:row>
    <x:row r="34" ht="22" customHeight="1">
      <x:c r="A34" s="43" t="str">
        <x:v>USR-CLI-020</x:v>
      </x:c>
      <x:c r="B34" s="43" t="str">
        <x:v>Julia Costa</x:v>
      </x:c>
      <x:c r="C34" s="43" t="str">
        <x:v>user20@replato.test</x:v>
      </x:c>
      <x:c r="D34" s="43" t="str">
        <x:v>user</x:v>
      </x:c>
      <x:c r="E34" s="43" t="str">
        <x:v>622000020</x:v>
      </x:c>
      <x:c r="F34" s="43" t="str">
        <x:v>Sevilla</x:v>
      </x:c>
      <x:c r="G34" s="43" t="str">
        <x:v>41029</x:v>
      </x:c>
      <x:c r="H34" s="43" t="str">
        <x:v>https://i.pravatar.cc/160?img=59</x:v>
      </x:c>
      <x:c r="I34" s="43" t="str">
        <x:v>lactose_free</x:v>
      </x:c>
      <x:c r="J34" s="44" t="b">
        <x:v>1</x:v>
      </x:c>
      <x:c r="K34" s="44" t="b">
        <x:v>1</x:v>
      </x:c>
    </x:row>
    <x:row r="35" ht="22" customHeight="1">
      <x:c r="A35" s="43" t="str">
        <x:v>USR-CLI-021</x:v>
      </x:c>
      <x:c r="B35" s="43" t="str">
        <x:v>Kevin Peña</x:v>
      </x:c>
      <x:c r="C35" s="43" t="str">
        <x:v>user21@replato.test</x:v>
      </x:c>
      <x:c r="D35" s="43" t="str">
        <x:v>user</x:v>
      </x:c>
      <x:c r="E35" s="43" t="str">
        <x:v>622000021</x:v>
      </x:c>
      <x:c r="F35" s="43" t="str">
        <x:v>Málaga</x:v>
      </x:c>
      <x:c r="G35" s="43" t="str">
        <x:v>29030</x:v>
      </x:c>
      <x:c r="H35" s="43" t="str">
        <x:v>https://i.pravatar.cc/160?img=60</x:v>
      </x:c>
      <x:c r="I35" s="43" t="str"/>
      <x:c r="J35" s="44" t="b">
        <x:v>1</x:v>
      </x:c>
      <x:c r="K35" s="44" t="b">
        <x:v>1</x:v>
      </x:c>
    </x:row>
    <x:row r="36" ht="22" customHeight="1">
      <x:c r="A36" s="43" t="str">
        <x:v>USR-CLI-022</x:v>
      </x:c>
      <x:c r="B36" s="43" t="str">
        <x:v>Lucía Pastor</x:v>
      </x:c>
      <x:c r="C36" s="43" t="str">
        <x:v>user22@replato.test</x:v>
      </x:c>
      <x:c r="D36" s="43" t="str">
        <x:v>user</x:v>
      </x:c>
      <x:c r="E36" s="43" t="str">
        <x:v>622000022</x:v>
      </x:c>
      <x:c r="F36" s="43" t="str">
        <x:v>Bilbao</x:v>
      </x:c>
      <x:c r="G36" s="43" t="str">
        <x:v>48031</x:v>
      </x:c>
      <x:c r="H36" s="43" t="str">
        <x:v>https://i.pravatar.cc/160?img=61</x:v>
      </x:c>
      <x:c r="I36" s="43" t="str">
        <x:v>vegetarian</x:v>
      </x:c>
      <x:c r="J36" s="44" t="b">
        <x:v>0</x:v>
      </x:c>
      <x:c r="K36" s="44" t="b">
        <x:v>1</x:v>
      </x:c>
    </x:row>
    <x:row r="37" ht="22" customHeight="1">
      <x:c r="A37" s="43" t="str">
        <x:v>USR-CLI-023</x:v>
      </x:c>
      <x:c r="B37" s="43" t="str">
        <x:v>Mateo Bravo</x:v>
      </x:c>
      <x:c r="C37" s="43" t="str">
        <x:v>user23@replato.test</x:v>
      </x:c>
      <x:c r="D37" s="43" t="str">
        <x:v>user</x:v>
      </x:c>
      <x:c r="E37" s="43" t="str">
        <x:v>622000023</x:v>
      </x:c>
      <x:c r="F37" s="43" t="str">
        <x:v>Zaragoza</x:v>
      </x:c>
      <x:c r="G37" s="43" t="str">
        <x:v>50032</x:v>
      </x:c>
      <x:c r="H37" s="43" t="str">
        <x:v>https://i.pravatar.cc/160?img=62</x:v>
      </x:c>
      <x:c r="I37" s="43" t="str">
        <x:v>vegan</x:v>
      </x:c>
      <x:c r="J37" s="44" t="b">
        <x:v>1</x:v>
      </x:c>
      <x:c r="K37" s="44" t="b">
        <x:v>1</x:v>
      </x:c>
    </x:row>
    <x:row r="38" ht="22" customHeight="1">
      <x:c r="A38" s="43" t="str">
        <x:v>USR-CLI-024</x:v>
      </x:c>
      <x:c r="B38" s="43" t="str">
        <x:v>Noa Esteban</x:v>
      </x:c>
      <x:c r="C38" s="43" t="str">
        <x:v>user24@replato.test</x:v>
      </x:c>
      <x:c r="D38" s="43" t="str">
        <x:v>user</x:v>
      </x:c>
      <x:c r="E38" s="43" t="str">
        <x:v>622000024</x:v>
      </x:c>
      <x:c r="F38" s="43" t="str">
        <x:v>Alicante</x:v>
      </x:c>
      <x:c r="G38" s="43" t="str">
        <x:v>03033</x:v>
      </x:c>
      <x:c r="H38" s="43" t="str">
        <x:v>https://i.pravatar.cc/160?img=63</x:v>
      </x:c>
      <x:c r="I38" s="43" t="str">
        <x:v>gluten_free</x:v>
      </x:c>
      <x:c r="J38" s="44" t="b">
        <x:v>1</x:v>
      </x:c>
      <x:c r="K38" s="44" t="b">
        <x:v>1</x:v>
      </x:c>
    </x:row>
    <x:row r="39" ht="22" customHeight="1">
      <x:c r="A39" s="43" t="str">
        <x:v>USR-CLI-025</x:v>
      </x:c>
      <x:c r="B39" s="43" t="str">
        <x:v>Pablo Galán</x:v>
      </x:c>
      <x:c r="C39" s="43" t="str">
        <x:v>user25@replato.test</x:v>
      </x:c>
      <x:c r="D39" s="43" t="str">
        <x:v>user</x:v>
      </x:c>
      <x:c r="E39" s="43" t="str">
        <x:v>622000025</x:v>
      </x:c>
      <x:c r="F39" s="43" t="str">
        <x:v>Madrid</x:v>
      </x:c>
      <x:c r="G39" s="43" t="str">
        <x:v>28034</x:v>
      </x:c>
      <x:c r="H39" s="43" t="str">
        <x:v>https://i.pravatar.cc/160?img=64</x:v>
      </x:c>
      <x:c r="I39" s="43" t="str">
        <x:v>lactose_free</x:v>
      </x:c>
      <x:c r="J39" s="44" t="b">
        <x:v>0</x:v>
      </x:c>
      <x:c r="K39" s="44" t="b">
        <x:v>1</x:v>
      </x:c>
    </x:row>
    <x:row r="40" ht="22" customHeight="1">
      <x:c r="A40" s="43" t="str">
        <x:v>USR-CLI-026</x:v>
      </x:c>
      <x:c r="B40" s="43" t="str">
        <x:v>Raquel Moya</x:v>
      </x:c>
      <x:c r="C40" s="43" t="str">
        <x:v>user26@replato.test</x:v>
      </x:c>
      <x:c r="D40" s="43" t="str">
        <x:v>user</x:v>
      </x:c>
      <x:c r="E40" s="43" t="str">
        <x:v>622000026</x:v>
      </x:c>
      <x:c r="F40" s="43" t="str">
        <x:v>Barcelona</x:v>
      </x:c>
      <x:c r="G40" s="43" t="str">
        <x:v>08035</x:v>
      </x:c>
      <x:c r="H40" s="43" t="str">
        <x:v>https://i.pravatar.cc/160?img=65</x:v>
      </x:c>
      <x:c r="I40" s="43" t="str"/>
      <x:c r="J40" s="44" t="b">
        <x:v>1</x:v>
      </x:c>
      <x:c r="K40" s="44" t="b">
        <x:v>1</x:v>
      </x:c>
    </x:row>
    <x:row r="41" ht="22" customHeight="1">
      <x:c r="A41" s="45" t="str">
        <x:v>USR-CLI-027</x:v>
      </x:c>
      <x:c r="B41" s="45" t="str">
        <x:v>Saúl Domínguez</x:v>
      </x:c>
      <x:c r="C41" s="45" t="str">
        <x:v>user27@replato.test</x:v>
      </x:c>
      <x:c r="D41" s="45" t="str">
        <x:v>user</x:v>
      </x:c>
      <x:c r="E41" s="45" t="str">
        <x:v>622000027</x:v>
      </x:c>
      <x:c r="F41" s="45" t="str">
        <x:v>Valencia</x:v>
      </x:c>
      <x:c r="G41" s="45" t="str">
        <x:v>46036</x:v>
      </x:c>
      <x:c r="H41" s="45" t="str">
        <x:v>https://i.pravatar.cc/160?img=66</x:v>
      </x:c>
      <x:c r="I41" s="45" t="str">
        <x:v>vegetarian</x:v>
      </x:c>
      <x:c r="J41" s="46" t="b">
        <x:v>1</x:v>
      </x:c>
      <x:c r="K41" s="46" t="b">
        <x:v>1</x:v>
      </x:c>
    </x:row>
  </x:sheetData>
  <x:conditionalFormatting sqref="A2:A41">
    <x:cfRule type="duplicateValues" dxfId="0" priority="1"/>
  </x:conditionalFormatting>
  <x:conditionalFormatting sqref="C2:C41">
    <x:cfRule type="duplicateValues" dxfId="1" priority="2"/>
  </x:conditionalFormatting>
  <x:dataValidations count="1">
    <x:dataValidation type="list" sqref="D2:D41">
      <x:formula1>"user,partner,admin"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9115cc196c45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25" hidden="0" customWidth="1"/>
    <x:col min="5" max="5" width="18" hidden="0" customWidth="1"/>
    <x:col min="6" max="6" width="48" hidden="0" customWidth="1"/>
    <x:col min="7" max="7" width="28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44" hidden="0" customWidth="1"/>
    <x:col min="14" max="14" width="14" hidden="0" customWidth="1"/>
    <x:col min="15" max="15" width="14" hidden="0" customWidth="1"/>
    <x:col min="16" max="16" width="26" hidden="0" customWidth="1"/>
    <x:col min="17" max="17" width="14" hidden="0" customWidth="1"/>
    <x:col min="18" max="18" width="12" hidden="0" customWidth="1"/>
  </x:cols>
  <x:sheetData>
    <x:row r="1" ht="30" customHeight="1">
      <x:c r="A1" s="38" t="str">
        <x:v>external_id</x:v>
      </x:c>
      <x:c r="B1" s="38" t="str">
        <x:v>owner_external_id</x:v>
      </x:c>
      <x:c r="C1" s="38" t="str">
        <x:v>name</x:v>
      </x:c>
      <x:c r="D1" s="38" t="str">
        <x:v>slug</x:v>
      </x:c>
      <x:c r="E1" s="38" t="str">
        <x:v>category</x:v>
      </x:c>
      <x:c r="F1" s="38" t="str">
        <x:v>description</x:v>
      </x:c>
      <x:c r="G1" s="38" t="str">
        <x:v>street</x:v>
      </x:c>
      <x:c r="H1" s="38" t="str">
        <x:v>city</x:v>
      </x:c>
      <x:c r="I1" s="38" t="str">
        <x:v>postal_code</x:v>
      </x:c>
      <x:c r="J1" s="38" t="str">
        <x:v>latitude</x:v>
      </x:c>
      <x:c r="K1" s="38" t="str">
        <x:v>longitude</x:v>
      </x:c>
      <x:c r="L1" s="38" t="str">
        <x:v>phone</x:v>
      </x:c>
      <x:c r="M1" s="38" t="str">
        <x:v>image_url</x:v>
      </x:c>
      <x:c r="N1" s="38" t="str">
        <x:v>opening_time</x:v>
      </x:c>
      <x:c r="O1" s="38" t="str">
        <x:v>closing_time</x:v>
      </x:c>
      <x:c r="P1" s="38" t="str">
        <x:v>tags</x:v>
      </x:c>
      <x:c r="Q1" s="38" t="str">
        <x:v>is_verified</x:v>
      </x:c>
      <x:c r="R1" s="38" t="str">
        <x:v>is_active</x:v>
      </x:c>
    </x:row>
    <x:row r="2" ht="22" customHeight="1">
      <x:c r="A2" s="41" t="str">
        <x:v>EST-001</x:v>
      </x:c>
      <x:c r="B2" s="41" t="str">
        <x:v>USR-PAR-001</x:v>
      </x:c>
      <x:c r="C2" s="41" t="str">
        <x:v>Miga Serena</x:v>
      </x:c>
      <x:c r="D2" s="41" t="str">
        <x:v>miga-serena</x:v>
      </x:c>
      <x:c r="E2" s="41" t="str">
        <x:v>bakery</x:v>
      </x:c>
      <x:c r="F2" s="41" t="str">
        <x:v>Miga Serena recupera cada día alimentos en perfecto estado para compartirlos con su barrio.</x:v>
      </x:c>
      <x:c r="G2" s="41" t="str">
        <x:v>Calle Luna, 12</x:v>
      </x:c>
      <x:c r="H2" s="41" t="str">
        <x:v>Madrid</x:v>
      </x:c>
      <x:c r="I2" s="41" t="str">
        <x:v>28010</x:v>
      </x:c>
      <x:c r="J2" s="41" t="n">
        <x:v>40.4008</x:v>
      </x:c>
      <x:c r="K2" s="41" t="n">
        <x:v>-3.7278</x:v>
      </x:c>
      <x:c r="L2" s="41" t="str">
        <x:v>933000001</x:v>
      </x:c>
      <x:c r="M2" s="41" t="str">
        <x:v>https://images.unsplash.com/photo-1509440159596-0249088772ff?auto=format&amp;fit=crop&amp;w=1000&amp;q=80</x:v>
      </x:c>
      <x:c r="N2" s="41" t="str">
        <x:v>09:00</x:v>
      </x:c>
      <x:c r="O2" s="41" t="str">
        <x:v>22:00</x:v>
      </x:c>
      <x:c r="P2" s="41" t="str">
        <x:v>local|recogida_rapida|sostenible</x:v>
      </x:c>
      <x:c r="Q2" s="42" t="b">
        <x:v>1</x:v>
      </x:c>
      <x:c r="R2" s="42" t="b">
        <x:v>1</x:v>
      </x:c>
    </x:row>
    <x:row r="3" ht="22" customHeight="1">
      <x:c r="A3" s="43" t="str">
        <x:v>EST-002</x:v>
      </x:c>
      <x:c r="B3" s="43" t="str">
        <x:v>USR-PAR-001</x:v>
      </x:c>
      <x:c r="C3" s="43" t="str">
        <x:v>La Huerta Circular</x:v>
      </x:c>
      <x:c r="D3" s="43" t="str">
        <x:v>la-huerta-circular</x:v>
      </x:c>
      <x:c r="E3" s="43" t="str">
        <x:v>greengrocer</x:v>
      </x:c>
      <x:c r="F3" s="43" t="str">
        <x:v>La Huerta Circular recupera cada día alimentos en perfecto estado para compartirlos con su barrio.</x:v>
      </x:c>
      <x:c r="G3" s="43" t="str">
        <x:v>Calle Olivo, 13</x:v>
      </x:c>
      <x:c r="H3" s="43" t="str">
        <x:v>Barcelona</x:v>
      </x:c>
      <x:c r="I3" s="43" t="str">
        <x:v>08011</x:v>
      </x:c>
      <x:c r="J3" s="43" t="n">
        <x:v>41.3794</x:v>
      </x:c>
      <x:c r="K3" s="43" t="n">
        <x:v>2.1526</x:v>
      </x:c>
      <x:c r="L3" s="43" t="str">
        <x:v>933000002</x:v>
      </x:c>
      <x:c r="M3" s="43" t="str">
        <x:v>https://images.unsplash.com/photo-1542838132-92c53300491e?auto=format&amp;fit=crop&amp;w=1000&amp;q=80</x:v>
      </x:c>
      <x:c r="N3" s="43" t="str">
        <x:v>08:00</x:v>
      </x:c>
      <x:c r="O3" s="43" t="str">
        <x:v>20:30</x:v>
      </x:c>
      <x:c r="P3" s="43" t="str">
        <x:v>local|recogida_rapida|artesano</x:v>
      </x:c>
      <x:c r="Q3" s="44" t="b">
        <x:v>1</x:v>
      </x:c>
      <x:c r="R3" s="44" t="b">
        <x:v>1</x:v>
      </x:c>
    </x:row>
    <x:row r="4" ht="22" customHeight="1">
      <x:c r="A4" s="43" t="str">
        <x:v>EST-003</x:v>
      </x:c>
      <x:c r="B4" s="43" t="str">
        <x:v>USR-PAR-002</x:v>
      </x:c>
      <x:c r="C4" s="43" t="str">
        <x:v>Cuchara de Barrio</x:v>
      </x:c>
      <x:c r="D4" s="43" t="str">
        <x:v>cuchara-de-barrio</x:v>
      </x:c>
      <x:c r="E4" s="43" t="str">
        <x:v>restaurant</x:v>
      </x:c>
      <x:c r="F4" s="43" t="str">
        <x:v>Cuchara de Barrio recupera cada día alimentos en perfecto estado para compartirlos con su barrio.</x:v>
      </x:c>
      <x:c r="G4" s="43" t="str">
        <x:v>Calle Mercado, 14</x:v>
      </x:c>
      <x:c r="H4" s="43" t="str">
        <x:v>Valencia</x:v>
      </x:c>
      <x:c r="I4" s="43" t="str">
        <x:v>46012</x:v>
      </x:c>
      <x:c r="J4" s="43" t="n">
        <x:v>39.4699</x:v>
      </x:c>
      <x:c r="K4" s="43" t="n">
        <x:v>-0.3843</x:v>
      </x:c>
      <x:c r="L4" s="43" t="str">
        <x:v>933000003</x:v>
      </x:c>
      <x:c r="M4" s="43" t="str">
        <x:v>https://images.unsplash.com/photo-1547592180-85f173990554?auto=format&amp;fit=crop&amp;w=1000&amp;q=80</x:v>
      </x:c>
      <x:c r="N4" s="43" t="str">
        <x:v>09:00</x:v>
      </x:c>
      <x:c r="O4" s="43" t="str">
        <x:v>20:30</x:v>
      </x:c>
      <x:c r="P4" s="43" t="str">
        <x:v>local|recogida_rapida|sostenible</x:v>
      </x:c>
      <x:c r="Q4" s="44" t="b">
        <x:v>1</x:v>
      </x:c>
      <x:c r="R4" s="44" t="b">
        <x:v>1</x:v>
      </x:c>
    </x:row>
    <x:row r="5" ht="22" customHeight="1">
      <x:c r="A5" s="43" t="str">
        <x:v>EST-004</x:v>
      </x:c>
      <x:c r="B5" s="43" t="str">
        <x:v>USR-PAR-002</x:v>
      </x:c>
      <x:c r="C5" s="43" t="str">
        <x:v>Pan y Punto</x:v>
      </x:c>
      <x:c r="D5" s="43" t="str">
        <x:v>pan-y-punto</x:v>
      </x:c>
      <x:c r="E5" s="43" t="str">
        <x:v>cafe</x:v>
      </x:c>
      <x:c r="F5" s="43" t="str">
        <x:v>Pan y Punto recupera cada día alimentos en perfecto estado para compartirlos con su barrio.</x:v>
      </x:c>
      <x:c r="G5" s="43" t="str">
        <x:v>Calle Río, 15</x:v>
      </x:c>
      <x:c r="H5" s="43" t="str">
        <x:v>Sevilla</x:v>
      </x:c>
      <x:c r="I5" s="43" t="str">
        <x:v>41013</x:v>
      </x:c>
      <x:c r="J5" s="43" t="n">
        <x:v>37.3971</x:v>
      </x:c>
      <x:c r="K5" s="43" t="n">
        <x:v>-5.9845</x:v>
      </x:c>
      <x:c r="L5" s="43" t="str">
        <x:v>933000004</x:v>
      </x:c>
      <x:c r="M5" s="43" t="str">
        <x:v>https://images.unsplash.com/photo-1495474472287-4d71bcdd2085?auto=format&amp;fit=crop&amp;w=1000&amp;q=80</x:v>
      </x:c>
      <x:c r="N5" s="43" t="str">
        <x:v>08:00</x:v>
      </x:c>
      <x:c r="O5" s="43" t="str">
        <x:v>22:00</x:v>
      </x:c>
      <x:c r="P5" s="43" t="str">
        <x:v>local|recogida_rapida|artesano</x:v>
      </x:c>
      <x:c r="Q5" s="44" t="b">
        <x:v>1</x:v>
      </x:c>
      <x:c r="R5" s="44" t="b">
        <x:v>1</x:v>
      </x:c>
    </x:row>
    <x:row r="6" ht="22" customHeight="1">
      <x:c r="A6" s="43" t="str">
        <x:v>EST-005</x:v>
      </x:c>
      <x:c r="B6" s="43" t="str">
        <x:v>USR-PAR-003</x:v>
      </x:c>
      <x:c r="C6" s="43" t="str">
        <x:v>Mercado Nativo</x:v>
      </x:c>
      <x:c r="D6" s="43" t="str">
        <x:v>mercado-nativo</x:v>
      </x:c>
      <x:c r="E6" s="43" t="str">
        <x:v>supermarket</x:v>
      </x:c>
      <x:c r="F6" s="43" t="str">
        <x:v>Mercado Nativo recupera cada día alimentos en perfecto estado para compartirlos con su barrio.</x:v>
      </x:c>
      <x:c r="G6" s="43" t="str">
        <x:v>Calle Sol, 16</x:v>
      </x:c>
      <x:c r="H6" s="43" t="str">
        <x:v>Málaga</x:v>
      </x:c>
      <x:c r="I6" s="43" t="str">
        <x:v>29014</x:v>
      </x:c>
      <x:c r="J6" s="43" t="n">
        <x:v>36.7373</x:v>
      </x:c>
      <x:c r="K6" s="43" t="n">
        <x:v>-4.4134</x:v>
      </x:c>
      <x:c r="L6" s="43" t="str">
        <x:v>933000005</x:v>
      </x:c>
      <x:c r="M6" s="43" t="str">
        <x:v>https://images.unsplash.com/photo-1540420773420-3366772f4999?auto=format&amp;fit=crop&amp;w=1000&amp;q=80</x:v>
      </x:c>
      <x:c r="N6" s="43" t="str">
        <x:v>09:00</x:v>
      </x:c>
      <x:c r="O6" s="43" t="str">
        <x:v>20:30</x:v>
      </x:c>
      <x:c r="P6" s="43" t="str">
        <x:v>local|recogida_rapida|sostenible</x:v>
      </x:c>
      <x:c r="Q6" s="44" t="b">
        <x:v>1</x:v>
      </x:c>
      <x:c r="R6" s="44" t="b">
        <x:v>1</x:v>
      </x:c>
    </x:row>
    <x:row r="7" ht="22" customHeight="1">
      <x:c r="A7" s="43" t="str">
        <x:v>EST-006</x:v>
      </x:c>
      <x:c r="B7" s="43" t="str">
        <x:v>USR-PAR-003</x:v>
      </x:c>
      <x:c r="C7" s="43" t="str">
        <x:v>Café Horizonte</x:v>
      </x:c>
      <x:c r="D7" s="43" t="str">
        <x:v>cafe-horizonte</x:v>
      </x:c>
      <x:c r="E7" s="43" t="str">
        <x:v>prepared_food</x:v>
      </x:c>
      <x:c r="F7" s="43" t="str">
        <x:v>Café Horizonte recupera cada día alimentos en perfecto estado para compartirlos con su barrio.</x:v>
      </x:c>
      <x:c r="G7" s="43" t="str">
        <x:v>Calle Jardín, 17</x:v>
      </x:c>
      <x:c r="H7" s="43" t="str">
        <x:v>Bilbao</x:v>
      </x:c>
      <x:c r="I7" s="43" t="str">
        <x:v>48015</x:v>
      </x:c>
      <x:c r="J7" s="43" t="n">
        <x:v>43.247</x:v>
      </x:c>
      <x:c r="K7" s="43" t="n">
        <x:v>-2.919</x:v>
      </x:c>
      <x:c r="L7" s="43" t="str">
        <x:v>933000006</x:v>
      </x:c>
      <x:c r="M7" s="43" t="str">
        <x:v>https://images.unsplash.com/photo-1565299624946-b28f40a0ae38?auto=format&amp;fit=crop&amp;w=1000&amp;q=80</x:v>
      </x:c>
      <x:c r="N7" s="43" t="str">
        <x:v>08:00</x:v>
      </x:c>
      <x:c r="O7" s="43" t="str">
        <x:v>20:30</x:v>
      </x:c>
      <x:c r="P7" s="43" t="str">
        <x:v>local|recogida_rapida|artesano</x:v>
      </x:c>
      <x:c r="Q7" s="44" t="b">
        <x:v>1</x:v>
      </x:c>
      <x:c r="R7" s="44" t="b">
        <x:v>1</x:v>
      </x:c>
    </x:row>
    <x:row r="8" ht="22" customHeight="1">
      <x:c r="A8" s="43" t="str">
        <x:v>EST-007</x:v>
      </x:c>
      <x:c r="B8" s="43" t="str">
        <x:v>USR-PAR-004</x:v>
      </x:c>
      <x:c r="C8" s="43" t="str">
        <x:v>Verde Cerca</x:v>
      </x:c>
      <x:c r="D8" s="43" t="str">
        <x:v>verde-cerca</x:v>
      </x:c>
      <x:c r="E8" s="43" t="str">
        <x:v>bakery</x:v>
      </x:c>
      <x:c r="F8" s="43" t="str">
        <x:v>Verde Cerca recupera cada día alimentos en perfecto estado para compartirlos con su barrio.</x:v>
      </x:c>
      <x:c r="G8" s="43" t="str">
        <x:v>Calle Luna, 18</x:v>
      </x:c>
      <x:c r="H8" s="43" t="str">
        <x:v>Zaragoza</x:v>
      </x:c>
      <x:c r="I8" s="43" t="str">
        <x:v>50016</x:v>
      </x:c>
      <x:c r="J8" s="43" t="n">
        <x:v>41.6408</x:v>
      </x:c>
      <x:c r="K8" s="43" t="n">
        <x:v>-0.8651</x:v>
      </x:c>
      <x:c r="L8" s="43" t="str">
        <x:v>933000007</x:v>
      </x:c>
      <x:c r="M8" s="43" t="str">
        <x:v>https://images.unsplash.com/photo-1509440159596-0249088772ff?auto=format&amp;fit=crop&amp;w=1000&amp;q=80</x:v>
      </x:c>
      <x:c r="N8" s="43" t="str">
        <x:v>09:00</x:v>
      </x:c>
      <x:c r="O8" s="43" t="str">
        <x:v>22:00</x:v>
      </x:c>
      <x:c r="P8" s="43" t="str">
        <x:v>local|recogida_rapida|sostenible</x:v>
      </x:c>
      <x:c r="Q8" s="44" t="b">
        <x:v>1</x:v>
      </x:c>
      <x:c r="R8" s="44" t="b">
        <x:v>1</x:v>
      </x:c>
    </x:row>
    <x:row r="9" ht="22" customHeight="1">
      <x:c r="A9" s="43" t="str">
        <x:v>EST-008</x:v>
      </x:c>
      <x:c r="B9" s="43" t="str">
        <x:v>USR-PAR-004</x:v>
      </x:c>
      <x:c r="C9" s="43" t="str">
        <x:v>Casa Tomillo</x:v>
      </x:c>
      <x:c r="D9" s="43" t="str">
        <x:v>casa-tomillo</x:v>
      </x:c>
      <x:c r="E9" s="43" t="str">
        <x:v>greengrocer</x:v>
      </x:c>
      <x:c r="F9" s="43" t="str">
        <x:v>Casa Tomillo recupera cada día alimentos en perfecto estado para compartirlos con su barrio.</x:v>
      </x:c>
      <x:c r="G9" s="43" t="str">
        <x:v>Calle Olivo, 19</x:v>
      </x:c>
      <x:c r="H9" s="43" t="str">
        <x:v>Alicante</x:v>
      </x:c>
      <x:c r="I9" s="43" t="str">
        <x:v>03017</x:v>
      </x:c>
      <x:c r="J9" s="43" t="n">
        <x:v>38.3452</x:v>
      </x:c>
      <x:c r="K9" s="43" t="n">
        <x:v>-0.505</x:v>
      </x:c>
      <x:c r="L9" s="43" t="str">
        <x:v>933000008</x:v>
      </x:c>
      <x:c r="M9" s="43" t="str">
        <x:v>https://images.unsplash.com/photo-1542838132-92c53300491e?auto=format&amp;fit=crop&amp;w=1000&amp;q=80</x:v>
      </x:c>
      <x:c r="N9" s="43" t="str">
        <x:v>08:00</x:v>
      </x:c>
      <x:c r="O9" s="43" t="str">
        <x:v>20:30</x:v>
      </x:c>
      <x:c r="P9" s="43" t="str">
        <x:v>local|recogida_rapida|artesano</x:v>
      </x:c>
      <x:c r="Q9" s="44" t="b">
        <x:v>1</x:v>
      </x:c>
      <x:c r="R9" s="44" t="b">
        <x:v>1</x:v>
      </x:c>
    </x:row>
    <x:row r="10" ht="22" customHeight="1">
      <x:c r="A10" s="43" t="str">
        <x:v>EST-009</x:v>
      </x:c>
      <x:c r="B10" s="43" t="str">
        <x:v>USR-PAR-005</x:v>
      </x:c>
      <x:c r="C10" s="43" t="str">
        <x:v>El Obrador Vivo</x:v>
      </x:c>
      <x:c r="D10" s="43" t="str">
        <x:v>el-obrador-vivo</x:v>
      </x:c>
      <x:c r="E10" s="43" t="str">
        <x:v>restaurant</x:v>
      </x:c>
      <x:c r="F10" s="43" t="str">
        <x:v>El Obrador Vivo recupera cada día alimentos en perfecto estado para compartirlos con su barrio.</x:v>
      </x:c>
      <x:c r="G10" s="43" t="str">
        <x:v>Calle Mercado, 20</x:v>
      </x:c>
      <x:c r="H10" s="43" t="str">
        <x:v>Madrid</x:v>
      </x:c>
      <x:c r="I10" s="43" t="str">
        <x:v>28018</x:v>
      </x:c>
      <x:c r="J10" s="43" t="n">
        <x:v>40.4248</x:v>
      </x:c>
      <x:c r="K10" s="43" t="n">
        <x:v>-3.7198</x:v>
      </x:c>
      <x:c r="L10" s="43" t="str">
        <x:v>933000009</x:v>
      </x:c>
      <x:c r="M10" s="43" t="str">
        <x:v>https://images.unsplash.com/photo-1547592180-85f173990554?auto=format&amp;fit=crop&amp;w=1000&amp;q=80</x:v>
      </x:c>
      <x:c r="N10" s="43" t="str">
        <x:v>09:00</x:v>
      </x:c>
      <x:c r="O10" s="43" t="str">
        <x:v>20:30</x:v>
      </x:c>
      <x:c r="P10" s="43" t="str">
        <x:v>local|recogida_rapida|sostenible</x:v>
      </x:c>
      <x:c r="Q10" s="44" t="b">
        <x:v>1</x:v>
      </x:c>
      <x:c r="R10" s="44" t="b">
        <x:v>1</x:v>
      </x:c>
    </x:row>
    <x:row r="11" ht="22" customHeight="1">
      <x:c r="A11" s="43" t="str">
        <x:v>EST-010</x:v>
      </x:c>
      <x:c r="B11" s="43" t="str">
        <x:v>USR-PAR-005</x:v>
      </x:c>
      <x:c r="C11" s="43" t="str">
        <x:v>Fruta Franca</x:v>
      </x:c>
      <x:c r="D11" s="43" t="str">
        <x:v>fruta-franca</x:v>
      </x:c>
      <x:c r="E11" s="43" t="str">
        <x:v>cafe</x:v>
      </x:c>
      <x:c r="F11" s="43" t="str">
        <x:v>Fruta Franca recupera cada día alimentos en perfecto estado para compartirlos con su barrio.</x:v>
      </x:c>
      <x:c r="G11" s="43" t="str">
        <x:v>Calle Río, 21</x:v>
      </x:c>
      <x:c r="H11" s="43" t="str">
        <x:v>Barcelona</x:v>
      </x:c>
      <x:c r="I11" s="43" t="str">
        <x:v>08019</x:v>
      </x:c>
      <x:c r="J11" s="43" t="n">
        <x:v>41.4034</x:v>
      </x:c>
      <x:c r="K11" s="43" t="n">
        <x:v>2.1606</x:v>
      </x:c>
      <x:c r="L11" s="43" t="str">
        <x:v>933000010</x:v>
      </x:c>
      <x:c r="M11" s="43" t="str">
        <x:v>https://images.unsplash.com/photo-1495474472287-4d71bcdd2085?auto=format&amp;fit=crop&amp;w=1000&amp;q=80</x:v>
      </x:c>
      <x:c r="N11" s="43" t="str">
        <x:v>08:00</x:v>
      </x:c>
      <x:c r="O11" s="43" t="str">
        <x:v>22:00</x:v>
      </x:c>
      <x:c r="P11" s="43" t="str">
        <x:v>local|recogida_rapida|artesano</x:v>
      </x:c>
      <x:c r="Q11" s="44" t="b">
        <x:v>1</x:v>
      </x:c>
      <x:c r="R11" s="44" t="b">
        <x:v>1</x:v>
      </x:c>
    </x:row>
    <x:row r="12" ht="22" customHeight="1">
      <x:c r="A12" s="43" t="str">
        <x:v>EST-011</x:v>
      </x:c>
      <x:c r="B12" s="43" t="str">
        <x:v>USR-PAR-006</x:v>
      </x:c>
      <x:c r="C12" s="43" t="str">
        <x:v>Mesa Abierta</x:v>
      </x:c>
      <x:c r="D12" s="43" t="str">
        <x:v>mesa-abierta</x:v>
      </x:c>
      <x:c r="E12" s="43" t="str">
        <x:v>supermarket</x:v>
      </x:c>
      <x:c r="F12" s="43" t="str">
        <x:v>Mesa Abierta recupera cada día alimentos en perfecto estado para compartirlos con su barrio.</x:v>
      </x:c>
      <x:c r="G12" s="43" t="str">
        <x:v>Calle Sol, 22</x:v>
      </x:c>
      <x:c r="H12" s="43" t="str">
        <x:v>Valencia</x:v>
      </x:c>
      <x:c r="I12" s="43" t="str">
        <x:v>46020</x:v>
      </x:c>
      <x:c r="J12" s="43" t="n">
        <x:v>39.4539</x:v>
      </x:c>
      <x:c r="K12" s="43" t="n">
        <x:v>-0.3763</x:v>
      </x:c>
      <x:c r="L12" s="43" t="str">
        <x:v>933000011</x:v>
      </x:c>
      <x:c r="M12" s="43" t="str">
        <x:v>https://images.unsplash.com/photo-1540420773420-3366772f4999?auto=format&amp;fit=crop&amp;w=1000&amp;q=80</x:v>
      </x:c>
      <x:c r="N12" s="43" t="str">
        <x:v>09:00</x:v>
      </x:c>
      <x:c r="O12" s="43" t="str">
        <x:v>20:30</x:v>
      </x:c>
      <x:c r="P12" s="43" t="str">
        <x:v>local|recogida_rapida|sostenible</x:v>
      </x:c>
      <x:c r="Q12" s="44" t="b">
        <x:v>1</x:v>
      </x:c>
      <x:c r="R12" s="44" t="b">
        <x:v>1</x:v>
      </x:c>
    </x:row>
    <x:row r="13" ht="22" customHeight="1">
      <x:c r="A13" s="43" t="str">
        <x:v>EST-012</x:v>
      </x:c>
      <x:c r="B13" s="43" t="str">
        <x:v>USR-PAR-006</x:v>
      </x:c>
      <x:c r="C13" s="43" t="str">
        <x:v>Trigo y Sol</x:v>
      </x:c>
      <x:c r="D13" s="43" t="str">
        <x:v>trigo-y-sol</x:v>
      </x:c>
      <x:c r="E13" s="43" t="str">
        <x:v>prepared_food</x:v>
      </x:c>
      <x:c r="F13" s="43" t="str">
        <x:v>Trigo y Sol recupera cada día alimentos en perfecto estado para compartirlos con su barrio.</x:v>
      </x:c>
      <x:c r="G13" s="43" t="str">
        <x:v>Calle Jardín, 23</x:v>
      </x:c>
      <x:c r="H13" s="43" t="str">
        <x:v>Sevilla</x:v>
      </x:c>
      <x:c r="I13" s="43" t="str">
        <x:v>41021</x:v>
      </x:c>
      <x:c r="J13" s="43" t="n">
        <x:v>37.3811</x:v>
      </x:c>
      <x:c r="K13" s="43" t="n">
        <x:v>-5.9765</x:v>
      </x:c>
      <x:c r="L13" s="43" t="str">
        <x:v>933000012</x:v>
      </x:c>
      <x:c r="M13" s="43" t="str">
        <x:v>https://images.unsplash.com/photo-1565299624946-b28f40a0ae38?auto=format&amp;fit=crop&amp;w=1000&amp;q=80</x:v>
      </x:c>
      <x:c r="N13" s="43" t="str">
        <x:v>08:00</x:v>
      </x:c>
      <x:c r="O13" s="43" t="str">
        <x:v>20:30</x:v>
      </x:c>
      <x:c r="P13" s="43" t="str">
        <x:v>local|recogida_rapida|artesano</x:v>
      </x:c>
      <x:c r="Q13" s="44" t="b">
        <x:v>1</x:v>
      </x:c>
      <x:c r="R13" s="44" t="b">
        <x:v>1</x:v>
      </x:c>
    </x:row>
    <x:row r="14" ht="22" customHeight="1">
      <x:c r="A14" s="43" t="str">
        <x:v>EST-013</x:v>
      </x:c>
      <x:c r="B14" s="43" t="str">
        <x:v>USR-PAR-007</x:v>
      </x:c>
      <x:c r="C14" s="43" t="str">
        <x:v>La Despensa Clara</x:v>
      </x:c>
      <x:c r="D14" s="43" t="str">
        <x:v>la-despensa-clara</x:v>
      </x:c>
      <x:c r="E14" s="43" t="str">
        <x:v>bakery</x:v>
      </x:c>
      <x:c r="F14" s="43" t="str">
        <x:v>La Despensa Clara recupera cada día alimentos en perfecto estado para compartirlos con su barrio.</x:v>
      </x:c>
      <x:c r="G14" s="43" t="str">
        <x:v>Calle Luna, 24</x:v>
      </x:c>
      <x:c r="H14" s="43" t="str">
        <x:v>Málaga</x:v>
      </x:c>
      <x:c r="I14" s="43" t="str">
        <x:v>29022</x:v>
      </x:c>
      <x:c r="J14" s="43" t="n">
        <x:v>36.7213</x:v>
      </x:c>
      <x:c r="K14" s="43" t="n">
        <x:v>-4.4054</x:v>
      </x:c>
      <x:c r="L14" s="43" t="str">
        <x:v>933000013</x:v>
      </x:c>
      <x:c r="M14" s="43" t="str">
        <x:v>https://images.unsplash.com/photo-1509440159596-0249088772ff?auto=format&amp;fit=crop&amp;w=1000&amp;q=80</x:v>
      </x:c>
      <x:c r="N14" s="43" t="str">
        <x:v>09:00</x:v>
      </x:c>
      <x:c r="O14" s="43" t="str">
        <x:v>22:00</x:v>
      </x:c>
      <x:c r="P14" s="43" t="str">
        <x:v>local|recogida_rapida|sostenible</x:v>
      </x:c>
      <x:c r="Q14" s="44" t="b">
        <x:v>1</x:v>
      </x:c>
      <x:c r="R14" s="44" t="b">
        <x:v>1</x:v>
      </x:c>
    </x:row>
    <x:row r="15" ht="22" customHeight="1">
      <x:c r="A15" s="43" t="str">
        <x:v>EST-014</x:v>
      </x:c>
      <x:c r="B15" s="43" t="str">
        <x:v>USR-PAR-007</x:v>
      </x:c>
      <x:c r="C15" s="43" t="str">
        <x:v>Brasa Vecina</x:v>
      </x:c>
      <x:c r="D15" s="43" t="str">
        <x:v>brasa-vecina</x:v>
      </x:c>
      <x:c r="E15" s="43" t="str">
        <x:v>greengrocer</x:v>
      </x:c>
      <x:c r="F15" s="43" t="str">
        <x:v>Brasa Vecina recupera cada día alimentos en perfecto estado para compartirlos con su barrio.</x:v>
      </x:c>
      <x:c r="G15" s="43" t="str">
        <x:v>Calle Olivo, 25</x:v>
      </x:c>
      <x:c r="H15" s="43" t="str">
        <x:v>Bilbao</x:v>
      </x:c>
      <x:c r="I15" s="43" t="str">
        <x:v>48023</x:v>
      </x:c>
      <x:c r="J15" s="43" t="n">
        <x:v>43.271</x:v>
      </x:c>
      <x:c r="K15" s="43" t="n">
        <x:v>-2.911</x:v>
      </x:c>
      <x:c r="L15" s="43" t="str">
        <x:v>933000014</x:v>
      </x:c>
      <x:c r="M15" s="43" t="str">
        <x:v>https://images.unsplash.com/photo-1542838132-92c53300491e?auto=format&amp;fit=crop&amp;w=1000&amp;q=80</x:v>
      </x:c>
      <x:c r="N15" s="43" t="str">
        <x:v>08:00</x:v>
      </x:c>
      <x:c r="O15" s="43" t="str">
        <x:v>20:30</x:v>
      </x:c>
      <x:c r="P15" s="43" t="str">
        <x:v>local|recogida_rapida|artesano</x:v>
      </x:c>
      <x:c r="Q15" s="44" t="b">
        <x:v>1</x:v>
      </x:c>
      <x:c r="R15" s="44" t="b">
        <x:v>1</x:v>
      </x:c>
    </x:row>
    <x:row r="16" ht="22" customHeight="1">
      <x:c r="A16" s="43" t="str">
        <x:v>EST-015</x:v>
      </x:c>
      <x:c r="B16" s="43" t="str">
        <x:v>USR-PAR-008</x:v>
      </x:c>
      <x:c r="C16" s="43" t="str">
        <x:v>Origen Café</x:v>
      </x:c>
      <x:c r="D16" s="43" t="str">
        <x:v>origen-cafe</x:v>
      </x:c>
      <x:c r="E16" s="43" t="str">
        <x:v>restaurant</x:v>
      </x:c>
      <x:c r="F16" s="43" t="str">
        <x:v>Origen Café recupera cada día alimentos en perfecto estado para compartirlos con su barrio.</x:v>
      </x:c>
      <x:c r="G16" s="43" t="str">
        <x:v>Calle Mercado, 26</x:v>
      </x:c>
      <x:c r="H16" s="43" t="str">
        <x:v>Zaragoza</x:v>
      </x:c>
      <x:c r="I16" s="43" t="str">
        <x:v>50024</x:v>
      </x:c>
      <x:c r="J16" s="43" t="n">
        <x:v>41.6648</x:v>
      </x:c>
      <x:c r="K16" s="43" t="n">
        <x:v>-0.9131</x:v>
      </x:c>
      <x:c r="L16" s="43" t="str">
        <x:v>933000015</x:v>
      </x:c>
      <x:c r="M16" s="43" t="str">
        <x:v>https://images.unsplash.com/photo-1547592180-85f173990554?auto=format&amp;fit=crop&amp;w=1000&amp;q=80</x:v>
      </x:c>
      <x:c r="N16" s="43" t="str">
        <x:v>09:00</x:v>
      </x:c>
      <x:c r="O16" s="43" t="str">
        <x:v>20:30</x:v>
      </x:c>
      <x:c r="P16" s="43" t="str">
        <x:v>local|recogida_rapida|sostenible</x:v>
      </x:c>
      <x:c r="Q16" s="44" t="b">
        <x:v>1</x:v>
      </x:c>
      <x:c r="R16" s="44" t="b">
        <x:v>1</x:v>
      </x:c>
    </x:row>
    <x:row r="17" ht="22" customHeight="1">
      <x:c r="A17" s="43" t="str">
        <x:v>EST-016</x:v>
      </x:c>
      <x:c r="B17" s="43" t="str">
        <x:v>USR-PAR-008</x:v>
      </x:c>
      <x:c r="C17" s="43" t="str">
        <x:v>Raíz Urbana</x:v>
      </x:c>
      <x:c r="D17" s="43" t="str">
        <x:v>raiz-urbana</x:v>
      </x:c>
      <x:c r="E17" s="43" t="str">
        <x:v>cafe</x:v>
      </x:c>
      <x:c r="F17" s="43" t="str">
        <x:v>Raíz Urbana recupera cada día alimentos en perfecto estado para compartirlos con su barrio.</x:v>
      </x:c>
      <x:c r="G17" s="43" t="str">
        <x:v>Calle Río, 27</x:v>
      </x:c>
      <x:c r="H17" s="43" t="str">
        <x:v>Alicante</x:v>
      </x:c>
      <x:c r="I17" s="43" t="str">
        <x:v>03025</x:v>
      </x:c>
      <x:c r="J17" s="43" t="n">
        <x:v>38.3292</x:v>
      </x:c>
      <x:c r="K17" s="43" t="n">
        <x:v>-0.497</x:v>
      </x:c>
      <x:c r="L17" s="43" t="str">
        <x:v>933000016</x:v>
      </x:c>
      <x:c r="M17" s="43" t="str">
        <x:v>https://images.unsplash.com/photo-1495474472287-4d71bcdd2085?auto=format&amp;fit=crop&amp;w=1000&amp;q=80</x:v>
      </x:c>
      <x:c r="N17" s="43" t="str">
        <x:v>08:00</x:v>
      </x:c>
      <x:c r="O17" s="43" t="str">
        <x:v>22:00</x:v>
      </x:c>
      <x:c r="P17" s="43" t="str">
        <x:v>local|recogida_rapida|artesano</x:v>
      </x:c>
      <x:c r="Q17" s="44" t="b">
        <x:v>1</x:v>
      </x:c>
      <x:c r="R17" s="44" t="b">
        <x:v>1</x:v>
      </x:c>
    </x:row>
    <x:row r="18" ht="22" customHeight="1">
      <x:c r="A18" s="43" t="str">
        <x:v>EST-017</x:v>
      </x:c>
      <x:c r="B18" s="43" t="str">
        <x:v>USR-PAR-009</x:v>
      </x:c>
      <x:c r="C18" s="43" t="str">
        <x:v>Horno del Parque</x:v>
      </x:c>
      <x:c r="D18" s="43" t="str">
        <x:v>horno-del-parque</x:v>
      </x:c>
      <x:c r="E18" s="43" t="str">
        <x:v>supermarket</x:v>
      </x:c>
      <x:c r="F18" s="43" t="str">
        <x:v>Horno del Parque recupera cada día alimentos en perfecto estado para compartirlos con su barrio.</x:v>
      </x:c>
      <x:c r="G18" s="43" t="str">
        <x:v>Calle Sol, 28</x:v>
      </x:c>
      <x:c r="H18" s="43" t="str">
        <x:v>Madrid</x:v>
      </x:c>
      <x:c r="I18" s="43" t="str">
        <x:v>28026</x:v>
      </x:c>
      <x:c r="J18" s="43" t="n">
        <x:v>40.4088</x:v>
      </x:c>
      <x:c r="K18" s="43" t="n">
        <x:v>-3.7118</x:v>
      </x:c>
      <x:c r="L18" s="43" t="str">
        <x:v>933000017</x:v>
      </x:c>
      <x:c r="M18" s="43" t="str">
        <x:v>https://images.unsplash.com/photo-1540420773420-3366772f4999?auto=format&amp;fit=crop&amp;w=1000&amp;q=80</x:v>
      </x:c>
      <x:c r="N18" s="43" t="str">
        <x:v>09:00</x:v>
      </x:c>
      <x:c r="O18" s="43" t="str">
        <x:v>20:30</x:v>
      </x:c>
      <x:c r="P18" s="43" t="str">
        <x:v>local|recogida_rapida|sostenible</x:v>
      </x:c>
      <x:c r="Q18" s="44" t="b">
        <x:v>1</x:v>
      </x:c>
      <x:c r="R18" s="44" t="b">
        <x:v>1</x:v>
      </x:c>
    </x:row>
    <x:row r="19" ht="22" customHeight="1">
      <x:c r="A19" s="43" t="str">
        <x:v>EST-018</x:v>
      </x:c>
      <x:c r="B19" s="43" t="str">
        <x:v>USR-PAR-009</x:v>
      </x:c>
      <x:c r="C19" s="43" t="str">
        <x:v>Savia Mercado</x:v>
      </x:c>
      <x:c r="D19" s="43" t="str">
        <x:v>savia-mercado</x:v>
      </x:c>
      <x:c r="E19" s="43" t="str">
        <x:v>prepared_food</x:v>
      </x:c>
      <x:c r="F19" s="43" t="str">
        <x:v>Savia Mercado recupera cada día alimentos en perfecto estado para compartirlos con su barrio.</x:v>
      </x:c>
      <x:c r="G19" s="43" t="str">
        <x:v>Calle Jardín, 29</x:v>
      </x:c>
      <x:c r="H19" s="43" t="str">
        <x:v>Barcelona</x:v>
      </x:c>
      <x:c r="I19" s="43" t="str">
        <x:v>08027</x:v>
      </x:c>
      <x:c r="J19" s="43" t="n">
        <x:v>41.3874</x:v>
      </x:c>
      <x:c r="K19" s="43" t="n">
        <x:v>2.1686</x:v>
      </x:c>
      <x:c r="L19" s="43" t="str">
        <x:v>933000018</x:v>
      </x:c>
      <x:c r="M19" s="43" t="str">
        <x:v>https://images.unsplash.com/photo-1565299624946-b28f40a0ae38?auto=format&amp;fit=crop&amp;w=1000&amp;q=80</x:v>
      </x:c>
      <x:c r="N19" s="43" t="str">
        <x:v>08:00</x:v>
      </x:c>
      <x:c r="O19" s="43" t="str">
        <x:v>20:30</x:v>
      </x:c>
      <x:c r="P19" s="43" t="str">
        <x:v>local|recogida_rapida|artesano</x:v>
      </x:c>
      <x:c r="Q19" s="44" t="b">
        <x:v>1</x:v>
      </x:c>
      <x:c r="R19" s="44" t="b">
        <x:v>1</x:v>
      </x:c>
    </x:row>
    <x:row r="20" ht="22" customHeight="1">
      <x:c r="A20" s="43" t="str">
        <x:v>EST-019</x:v>
      </x:c>
      <x:c r="B20" s="43" t="str">
        <x:v>USR-PAR-010</x:v>
      </x:c>
      <x:c r="C20" s="43" t="str">
        <x:v>La Olla Común</x:v>
      </x:c>
      <x:c r="D20" s="43" t="str">
        <x:v>la-olla-comun</x:v>
      </x:c>
      <x:c r="E20" s="43" t="str">
        <x:v>bakery</x:v>
      </x:c>
      <x:c r="F20" s="43" t="str">
        <x:v>La Olla Común recupera cada día alimentos en perfecto estado para compartirlos con su barrio.</x:v>
      </x:c>
      <x:c r="G20" s="43" t="str">
        <x:v>Calle Luna, 30</x:v>
      </x:c>
      <x:c r="H20" s="43" t="str">
        <x:v>Valencia</x:v>
      </x:c>
      <x:c r="I20" s="43" t="str">
        <x:v>46028</x:v>
      </x:c>
      <x:c r="J20" s="43" t="n">
        <x:v>39.4779</x:v>
      </x:c>
      <x:c r="K20" s="43" t="n">
        <x:v>-0.3683</x:v>
      </x:c>
      <x:c r="L20" s="43" t="str">
        <x:v>933000019</x:v>
      </x:c>
      <x:c r="M20" s="43" t="str">
        <x:v>https://images.unsplash.com/photo-1509440159596-0249088772ff?auto=format&amp;fit=crop&amp;w=1000&amp;q=80</x:v>
      </x:c>
      <x:c r="N20" s="43" t="str">
        <x:v>09:00</x:v>
      </x:c>
      <x:c r="O20" s="43" t="str">
        <x:v>22:00</x:v>
      </x:c>
      <x:c r="P20" s="43" t="str">
        <x:v>local|recogida_rapida|sostenible</x:v>
      </x:c>
      <x:c r="Q20" s="44" t="b">
        <x:v>1</x:v>
      </x:c>
      <x:c r="R20" s="44" t="b">
        <x:v>1</x:v>
      </x:c>
    </x:row>
    <x:row r="21" ht="22" customHeight="1">
      <x:c r="A21" s="43" t="str">
        <x:v>EST-020</x:v>
      </x:c>
      <x:c r="B21" s="43" t="str">
        <x:v>USR-PAR-010</x:v>
      </x:c>
      <x:c r="C21" s="43" t="str">
        <x:v>Azahar Pan</x:v>
      </x:c>
      <x:c r="D21" s="43" t="str">
        <x:v>azahar-pan</x:v>
      </x:c>
      <x:c r="E21" s="43" t="str">
        <x:v>greengrocer</x:v>
      </x:c>
      <x:c r="F21" s="43" t="str">
        <x:v>Azahar Pan recupera cada día alimentos en perfecto estado para compartirlos con su barrio.</x:v>
      </x:c>
      <x:c r="G21" s="43" t="str">
        <x:v>Calle Olivo, 31</x:v>
      </x:c>
      <x:c r="H21" s="43" t="str">
        <x:v>Sevilla</x:v>
      </x:c>
      <x:c r="I21" s="43" t="str">
        <x:v>41029</x:v>
      </x:c>
      <x:c r="J21" s="43" t="n">
        <x:v>37.4051</x:v>
      </x:c>
      <x:c r="K21" s="43" t="n">
        <x:v>-5.9685</x:v>
      </x:c>
      <x:c r="L21" s="43" t="str">
        <x:v>933000020</x:v>
      </x:c>
      <x:c r="M21" s="43" t="str">
        <x:v>https://images.unsplash.com/photo-1542838132-92c53300491e?auto=format&amp;fit=crop&amp;w=1000&amp;q=80</x:v>
      </x:c>
      <x:c r="N21" s="43" t="str">
        <x:v>08:00</x:v>
      </x:c>
      <x:c r="O21" s="43" t="str">
        <x:v>20:30</x:v>
      </x:c>
      <x:c r="P21" s="43" t="str">
        <x:v>local|recogida_rapida|artesano</x:v>
      </x:c>
      <x:c r="Q21" s="44" t="b">
        <x:v>1</x:v>
      </x:c>
      <x:c r="R21" s="44" t="b">
        <x:v>1</x:v>
      </x:c>
    </x:row>
    <x:row r="22" ht="22" customHeight="1">
      <x:c r="A22" s="43" t="str">
        <x:v>EST-021</x:v>
      </x:c>
      <x:c r="B22" s="43" t="str">
        <x:v>USR-PAR-011</x:v>
      </x:c>
      <x:c r="C22" s="43" t="str">
        <x:v>Cesta Mediterránea</x:v>
      </x:c>
      <x:c r="D22" s="43" t="str">
        <x:v>cesta-mediterranea</x:v>
      </x:c>
      <x:c r="E22" s="43" t="str">
        <x:v>restaurant</x:v>
      </x:c>
      <x:c r="F22" s="43" t="str">
        <x:v>Cesta Mediterránea recupera cada día alimentos en perfecto estado para compartirlos con su barrio.</x:v>
      </x:c>
      <x:c r="G22" s="43" t="str">
        <x:v>Calle Mercado, 32</x:v>
      </x:c>
      <x:c r="H22" s="43" t="str">
        <x:v>Málaga</x:v>
      </x:c>
      <x:c r="I22" s="43" t="str">
        <x:v>29030</x:v>
      </x:c>
      <x:c r="J22" s="43" t="n">
        <x:v>36.7053</x:v>
      </x:c>
      <x:c r="K22" s="43" t="n">
        <x:v>-4.3974</x:v>
      </x:c>
      <x:c r="L22" s="43" t="str">
        <x:v>933000021</x:v>
      </x:c>
      <x:c r="M22" s="43" t="str">
        <x:v>https://images.unsplash.com/photo-1547592180-85f173990554?auto=format&amp;fit=crop&amp;w=1000&amp;q=80</x:v>
      </x:c>
      <x:c r="N22" s="43" t="str">
        <x:v>09:00</x:v>
      </x:c>
      <x:c r="O22" s="43" t="str">
        <x:v>20:30</x:v>
      </x:c>
      <x:c r="P22" s="43" t="str">
        <x:v>local|recogida_rapida|sostenible</x:v>
      </x:c>
      <x:c r="Q22" s="44" t="b">
        <x:v>1</x:v>
      </x:c>
      <x:c r="R22" s="44" t="b">
        <x:v>1</x:v>
      </x:c>
    </x:row>
    <x:row r="23" ht="22" customHeight="1">
      <x:c r="A23" s="43" t="str">
        <x:v>EST-022</x:v>
      </x:c>
      <x:c r="B23" s="43" t="str">
        <x:v>USR-PAR-011</x:v>
      </x:c>
      <x:c r="C23" s="43" t="str">
        <x:v>Norte Cocina</x:v>
      </x:c>
      <x:c r="D23" s="43" t="str">
        <x:v>norte-cocina</x:v>
      </x:c>
      <x:c r="E23" s="43" t="str">
        <x:v>cafe</x:v>
      </x:c>
      <x:c r="F23" s="43" t="str">
        <x:v>Norte Cocina recupera cada día alimentos en perfecto estado para compartirlos con su barrio.</x:v>
      </x:c>
      <x:c r="G23" s="43" t="str">
        <x:v>Calle Río, 33</x:v>
      </x:c>
      <x:c r="H23" s="43" t="str">
        <x:v>Bilbao</x:v>
      </x:c>
      <x:c r="I23" s="43" t="str">
        <x:v>48031</x:v>
      </x:c>
      <x:c r="J23" s="43" t="n">
        <x:v>43.255</x:v>
      </x:c>
      <x:c r="K23" s="43" t="n">
        <x:v>-2.959</x:v>
      </x:c>
      <x:c r="L23" s="43" t="str">
        <x:v>933000022</x:v>
      </x:c>
      <x:c r="M23" s="43" t="str">
        <x:v>https://images.unsplash.com/photo-1495474472287-4d71bcdd2085?auto=format&amp;fit=crop&amp;w=1000&amp;q=80</x:v>
      </x:c>
      <x:c r="N23" s="43" t="str">
        <x:v>08:00</x:v>
      </x:c>
      <x:c r="O23" s="43" t="str">
        <x:v>22:00</x:v>
      </x:c>
      <x:c r="P23" s="43" t="str">
        <x:v>local|recogida_rapida|artesano</x:v>
      </x:c>
      <x:c r="Q23" s="44" t="b">
        <x:v>0</x:v>
      </x:c>
      <x:c r="R23" s="44" t="b">
        <x:v>1</x:v>
      </x:c>
    </x:row>
    <x:row r="24" ht="22" customHeight="1">
      <x:c r="A24" s="43" t="str">
        <x:v>EST-023</x:v>
      </x:c>
      <x:c r="B24" s="43" t="str">
        <x:v>USR-PAR-012</x:v>
      </x:c>
      <x:c r="C24" s="43" t="str">
        <x:v>Alacena Viva</x:v>
      </x:c>
      <x:c r="D24" s="43" t="str">
        <x:v>alacena-viva</x:v>
      </x:c>
      <x:c r="E24" s="43" t="str">
        <x:v>supermarket</x:v>
      </x:c>
      <x:c r="F24" s="43" t="str">
        <x:v>Alacena Viva recupera cada día alimentos en perfecto estado para compartirlos con su barrio.</x:v>
      </x:c>
      <x:c r="G24" s="43" t="str">
        <x:v>Calle Sol, 34</x:v>
      </x:c>
      <x:c r="H24" s="43" t="str">
        <x:v>Zaragoza</x:v>
      </x:c>
      <x:c r="I24" s="43" t="str">
        <x:v>50032</x:v>
      </x:c>
      <x:c r="J24" s="43" t="n">
        <x:v>41.6488</x:v>
      </x:c>
      <x:c r="K24" s="43" t="n">
        <x:v>-0.9051</x:v>
      </x:c>
      <x:c r="L24" s="43" t="str">
        <x:v>933000023</x:v>
      </x:c>
      <x:c r="M24" s="43" t="str">
        <x:v>https://images.unsplash.com/photo-1540420773420-3366772f4999?auto=format&amp;fit=crop&amp;w=1000&amp;q=80</x:v>
      </x:c>
      <x:c r="N24" s="43" t="str">
        <x:v>09:00</x:v>
      </x:c>
      <x:c r="O24" s="43" t="str">
        <x:v>20:30</x:v>
      </x:c>
      <x:c r="P24" s="43" t="str">
        <x:v>local|recogida_rapida|sostenible</x:v>
      </x:c>
      <x:c r="Q24" s="44" t="b">
        <x:v>0</x:v>
      </x:c>
      <x:c r="R24" s="44" t="b">
        <x:v>1</x:v>
      </x:c>
    </x:row>
    <x:row r="25" ht="22" customHeight="1">
      <x:c r="A25" s="45" t="str">
        <x:v>EST-024</x:v>
      </x:c>
      <x:c r="B25" s="45" t="str">
        <x:v>USR-PAR-012</x:v>
      </x:c>
      <x:c r="C25" s="45" t="str">
        <x:v>Bocado Local</x:v>
      </x:c>
      <x:c r="D25" s="45" t="str">
        <x:v>bocado-local</x:v>
      </x:c>
      <x:c r="E25" s="45" t="str">
        <x:v>prepared_food</x:v>
      </x:c>
      <x:c r="F25" s="45" t="str">
        <x:v>Bocado Local recupera cada día alimentos en perfecto estado para compartirlos con su barrio.</x:v>
      </x:c>
      <x:c r="G25" s="45" t="str">
        <x:v>Calle Jardín, 35</x:v>
      </x:c>
      <x:c r="H25" s="45" t="str">
        <x:v>Alicante</x:v>
      </x:c>
      <x:c r="I25" s="45" t="str">
        <x:v>03033</x:v>
      </x:c>
      <x:c r="J25" s="45" t="n">
        <x:v>38.3532</x:v>
      </x:c>
      <x:c r="K25" s="45" t="n">
        <x:v>-0.489</x:v>
      </x:c>
      <x:c r="L25" s="45" t="str">
        <x:v>933000024</x:v>
      </x:c>
      <x:c r="M25" s="45" t="str">
        <x:v>https://images.unsplash.com/photo-1565299624946-b28f40a0ae38?auto=format&amp;fit=crop&amp;w=1000&amp;q=80</x:v>
      </x:c>
      <x:c r="N25" s="45" t="str">
        <x:v>08:00</x:v>
      </x:c>
      <x:c r="O25" s="45" t="str">
        <x:v>20:30</x:v>
      </x:c>
      <x:c r="P25" s="45" t="str">
        <x:v>local|recogida_rapida|artesano</x:v>
      </x:c>
      <x:c r="Q25" s="46" t="b">
        <x:v>0</x:v>
      </x:c>
      <x:c r="R25" s="46" t="b">
        <x:v>0</x:v>
      </x:c>
    </x:row>
  </x:sheetData>
  <x:conditionalFormatting sqref="A2:A25">
    <x:cfRule type="duplicateValues" dxfId="2" priority="1"/>
  </x:conditionalFormatting>
  <x:dataValidations count="1">
    <x:dataValidation type="list" sqref="E2:E25">
      <x:formula1>"bakery,greengrocer,restaurant,cafe,supermarket,prepared_food"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a5a867cafb41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48" hidden="0" customWidth="1"/>
    <x:col min="5" max="5" width="18" hidden="0" customWidth="1"/>
    <x:col min="6" max="6" width="18" hidden="0" customWidth="1"/>
    <x:col min="7" max="7" width="17" hidden="0" customWidth="1"/>
    <x:col min="8" max="8" width="13" hidden="0" customWidth="1"/>
    <x:col min="9" max="9" width="16" hidden="0" customWidth="1"/>
    <x:col min="10" max="10" width="17" hidden="0" customWidth="1"/>
    <x:col min="11" max="11" width="18" hidden="0" customWidth="1"/>
    <x:col min="12" max="12" width="17" hidden="0" customWidth="1"/>
    <x:col min="13" max="13" width="18" hidden="0" customWidth="1"/>
    <x:col min="14" max="14" width="18" hidden="0" customWidth="1"/>
    <x:col min="15" max="15" width="25" hidden="0" customWidth="1"/>
    <x:col min="16" max="16" width="24" hidden="0" customWidth="1"/>
    <x:col min="17" max="17" width="44" hidden="0" customWidth="1"/>
    <x:col min="18" max="18" width="15" hidden="0" customWidth="1"/>
    <x:col min="19" max="19" width="14" hidden="0" customWidth="1"/>
    <x:col min="20" max="20" width="20" hidden="0" customWidth="1"/>
    <x:col min="21" max="21" width="18" hidden="0" customWidth="1"/>
  </x:cols>
  <x:sheetData>
    <x:row r="1" ht="30" customHeight="1">
      <x:c r="A1" s="38" t="str">
        <x:v>external_id</x:v>
      </x:c>
      <x:c r="B1" s="38" t="str">
        <x:v>establishment_external_id</x:v>
      </x:c>
      <x:c r="C1" s="38" t="str">
        <x:v>title</x:v>
      </x:c>
      <x:c r="D1" s="38" t="str">
        <x:v>description</x:v>
      </x:c>
      <x:c r="E1" s="38" t="str">
        <x:v>category</x:v>
      </x:c>
      <x:c r="F1" s="38" t="str">
        <x:v>original_price_cents</x:v>
      </x:c>
      <x:c r="G1" s="38" t="str">
        <x:v>sale_price_cents</x:v>
      </x:c>
      <x:c r="H1" s="38" t="str">
        <x:v>stock_total</x:v>
      </x:c>
      <x:c r="I1" s="38" t="str">
        <x:v>stock_remaining</x:v>
      </x:c>
      <x:c r="J1" s="38" t="str">
        <x:v>publish_day_offset</x:v>
      </x:c>
      <x:c r="K1" s="38" t="str">
        <x:v>pickup_day_offset</x:v>
      </x:c>
      <x:c r="L1" s="38" t="str">
        <x:v>pickup_start_time</x:v>
      </x:c>
      <x:c r="M1" s="38" t="str">
        <x:v>pickup_end_time</x:v>
      </x:c>
      <x:c r="N1" s="38" t="str">
        <x:v>dietary_tags</x:v>
      </x:c>
      <x:c r="O1" s="38" t="str">
        <x:v>allergens</x:v>
      </x:c>
      <x:c r="P1" s="38" t="str">
        <x:v>image_url</x:v>
      </x:c>
      <x:c r="Q1" s="38" t="str">
        <x:v>status</x:v>
      </x:c>
      <x:c r="R1" s="38" t="str">
        <x:v>is_featured</x:v>
      </x:c>
      <x:c r="S1" s="38" t="str">
        <x:v>estimated_weight_grams</x:v>
      </x:c>
      <x:c r="T1" s="38" t="str">
        <x:v>impact_co2_grams</x:v>
      </x:c>
    </x:row>
    <x:row r="2" ht="22" customHeight="1">
      <x:c r="A2" s="41" t="str">
        <x:v>PACK-0001</x:v>
      </x:c>
      <x:c r="B2" s="41" t="str">
        <x:v>EST-001</x:v>
      </x:c>
      <x:c r="C2" s="41" t="str">
        <x:v>Pack de pan artesano</x:v>
      </x:c>
      <x:c r="D2" s="41" t="str">
        <x:v>Una selección sorpresa preparada con excedentes del día. El contenido puede variar según disponibilidad.</x:v>
      </x:c>
      <x:c r="E2" s="41" t="str">
        <x:v>bakery</x:v>
      </x:c>
      <x:c r="F2" s="47" t="n">
        <x:v>900</x:v>
      </x:c>
      <x:c r="G2" s="47" t="n">
        <x:v>315</x:v>
      </x:c>
      <x:c r="H2" s="47" t="n">
        <x:v>4</x:v>
      </x:c>
      <x:c r="I2" s="47" t="n">
        <x:v>2</x:v>
      </x:c>
      <x:c r="J2" s="41" t="n">
        <x:v>-1</x:v>
      </x:c>
      <x:c r="K2" s="41" t="n">
        <x:v>1</x:v>
      </x:c>
      <x:c r="L2" s="41" t="str">
        <x:v>19:00</x:v>
      </x:c>
      <x:c r="M2" s="41" t="str">
        <x:v>21:00</x:v>
      </x:c>
      <x:c r="N2" s="41" t="str"/>
      <x:c r="O2" s="41" t="str">
        <x:v>gluten|milk|egg</x:v>
      </x:c>
      <x:c r="P2" s="41" t="str">
        <x:v>https://images.unsplash.com/photo-1509440159596-0249088772ff?auto=format&amp;fit=crop&amp;w=1000&amp;q=80</x:v>
      </x:c>
      <x:c r="Q2" s="41" t="str">
        <x:v>available</x:v>
      </x:c>
      <x:c r="R2" s="42" t="b">
        <x:v>1</x:v>
      </x:c>
      <x:c r="S2" s="41" t="n">
        <x:v>500</x:v>
      </x:c>
      <x:c r="T2" s="41" t="n">
        <x:v>900</x:v>
      </x:c>
    </x:row>
    <x:row r="3" ht="22" customHeight="1">
      <x:c r="A3" s="43" t="str">
        <x:v>PACK-0002</x:v>
      </x:c>
      <x:c r="B3" s="43" t="str">
        <x:v>EST-001</x:v>
      </x:c>
      <x:c r="C3" s="43" t="str">
        <x:v>Platos listos para disfrutar</x:v>
      </x:c>
      <x:c r="D3" s="43" t="str">
        <x:v>Una selección sorpresa preparada con excedentes del día. El contenido puede variar según disponibilidad.</x:v>
      </x:c>
      <x:c r="E3" s="43" t="str">
        <x:v>prepared_food</x:v>
      </x:c>
      <x:c r="F3" s="48" t="n">
        <x:v>1025</x:v>
      </x:c>
      <x:c r="G3" s="48" t="n">
        <x:v>410</x:v>
      </x:c>
      <x:c r="H3" s="48" t="n">
        <x:v>5</x:v>
      </x:c>
      <x:c r="I3" s="48" t="n">
        <x:v>3</x:v>
      </x:c>
      <x:c r="J3" s="43" t="n">
        <x:v>0</x:v>
      </x:c>
      <x:c r="K3" s="43" t="n">
        <x:v>2</x:v>
      </x:c>
      <x:c r="L3" s="43" t="str">
        <x:v>18:30</x:v>
      </x:c>
      <x:c r="M3" s="43" t="str">
        <x:v>20:00</x:v>
      </x:c>
      <x:c r="N3" s="43" t="str"/>
      <x:c r="O3" s="43" t="str">
        <x:v>gluten|soy</x:v>
      </x:c>
      <x:c r="P3" s="43" t="str">
        <x:v>https://images.unsplash.com/photo-1542838132-92c53300491e?auto=format&amp;fit=crop&amp;w=1000&amp;q=80</x:v>
      </x:c>
      <x:c r="Q3" s="43" t="str">
        <x:v>available</x:v>
      </x:c>
      <x:c r="R3" s="44" t="b">
        <x:v>0</x:v>
      </x:c>
      <x:c r="S3" s="43" t="n">
        <x:v>625</x:v>
      </x:c>
      <x:c r="T3" s="43" t="n">
        <x:v>1080</x:v>
      </x:c>
    </x:row>
    <x:row r="4" ht="22" customHeight="1">
      <x:c r="A4" s="43" t="str">
        <x:v>PACK-0003</x:v>
      </x:c>
      <x:c r="B4" s="43" t="str">
        <x:v>EST-001</x:v>
      </x:c>
      <x:c r="C4" s="43" t="str">
        <x:v>Caja verde de aprovechamiento</x:v>
      </x:c>
      <x:c r="D4" s="43" t="str">
        <x:v>Una selección sorpresa preparada con excedentes del día. El contenido puede variar según disponibilidad.</x:v>
      </x:c>
      <x:c r="E4" s="43" t="str">
        <x:v>produce</x:v>
      </x:c>
      <x:c r="F4" s="48" t="n">
        <x:v>1150</x:v>
      </x:c>
      <x:c r="G4" s="48" t="n">
        <x:v>518</x:v>
      </x:c>
      <x:c r="H4" s="48" t="n">
        <x:v>6</x:v>
      </x:c>
      <x:c r="I4" s="48" t="n">
        <x:v>4</x:v>
      </x:c>
      <x:c r="J4" s="43" t="n">
        <x:v>1</x:v>
      </x:c>
      <x:c r="K4" s="43" t="n">
        <x:v>3</x:v>
      </x:c>
      <x:c r="L4" s="43" t="str">
        <x:v>19:00</x:v>
      </x:c>
      <x:c r="M4" s="43" t="str">
        <x:v>21:00</x:v>
      </x:c>
      <x:c r="N4" s="43" t="str">
        <x:v>vegan|vegetarian|gluten_free</x:v>
      </x:c>
      <x:c r="O4" s="43" t="str"/>
      <x:c r="P4" s="43" t="str">
        <x:v>https://images.unsplash.com/photo-1547592180-85f173990554?auto=format&amp;fit=crop&amp;w=1000&amp;q=80</x:v>
      </x:c>
      <x:c r="Q4" s="43" t="str">
        <x:v>available</x:v>
      </x:c>
      <x:c r="R4" s="44" t="b">
        <x:v>0</x:v>
      </x:c>
      <x:c r="S4" s="43" t="n">
        <x:v>750</x:v>
      </x:c>
      <x:c r="T4" s="43" t="n">
        <x:v>1260</x:v>
      </x:c>
    </x:row>
    <x:row r="5" ht="22" customHeight="1">
      <x:c r="A5" s="43" t="str">
        <x:v>PACK-0004</x:v>
      </x:c>
      <x:c r="B5" s="43" t="str">
        <x:v>EST-001</x:v>
      </x:c>
      <x:c r="C5" s="43" t="str">
        <x:v>Desayuno completo</x:v>
      </x:c>
      <x:c r="D5" s="43" t="str">
        <x:v>Una selección sorpresa preparada con excedentes del día. El contenido puede variar según disponibilidad.</x:v>
      </x:c>
      <x:c r="E5" s="43" t="str">
        <x:v>breakfast</x:v>
      </x:c>
      <x:c r="F5" s="48" t="n">
        <x:v>1275</x:v>
      </x:c>
      <x:c r="G5" s="48" t="n">
        <x:v>638</x:v>
      </x:c>
      <x:c r="H5" s="48" t="n">
        <x:v>7</x:v>
      </x:c>
      <x:c r="I5" s="48" t="n">
        <x:v>0</x:v>
      </x:c>
      <x:c r="J5" s="43" t="n">
        <x:v>2</x:v>
      </x:c>
      <x:c r="K5" s="43" t="n">
        <x:v>4</x:v>
      </x:c>
      <x:c r="L5" s="43" t="str">
        <x:v>18:30</x:v>
      </x:c>
      <x:c r="M5" s="43" t="str">
        <x:v>20:00</x:v>
      </x:c>
      <x:c r="N5" s="43" t="str"/>
      <x:c r="O5" s="43" t="str">
        <x:v>gluten|milk</x:v>
      </x:c>
      <x:c r="P5" s="43" t="str">
        <x:v>https://images.unsplash.com/photo-1495474472287-4d71bcdd2085?auto=format&amp;fit=crop&amp;w=1000&amp;q=80</x:v>
      </x:c>
      <x:c r="Q5" s="43" t="str">
        <x:v>sold_out</x:v>
      </x:c>
      <x:c r="R5" s="44" t="b">
        <x:v>0</x:v>
      </x:c>
      <x:c r="S5" s="43" t="n">
        <x:v>875</x:v>
      </x:c>
      <x:c r="T5" s="43" t="n">
        <x:v>1440</x:v>
      </x:c>
    </x:row>
    <x:row r="6" ht="22" customHeight="1">
      <x:c r="A6" s="43" t="str">
        <x:v>PACK-0005</x:v>
      </x:c>
      <x:c r="B6" s="43" t="str">
        <x:v>EST-001</x:v>
      </x:c>
      <x:c r="C6" s="43" t="str">
        <x:v>Sabores veganos del día</x:v>
      </x:c>
      <x:c r="D6" s="43" t="str">
        <x:v>Una selección sorpresa preparada con excedentes del día. El contenido puede variar según disponibilidad.</x:v>
      </x:c>
      <x:c r="E6" s="43" t="str">
        <x:v>vegan</x:v>
      </x:c>
      <x:c r="F6" s="48" t="n">
        <x:v>1400</x:v>
      </x:c>
      <x:c r="G6" s="48" t="n">
        <x:v>490</x:v>
      </x:c>
      <x:c r="H6" s="48" t="n">
        <x:v>8</x:v>
      </x:c>
      <x:c r="I6" s="48" t="n">
        <x:v>6</x:v>
      </x:c>
      <x:c r="J6" s="43" t="n">
        <x:v>3</x:v>
      </x:c>
      <x:c r="K6" s="43" t="n">
        <x:v>5</x:v>
      </x:c>
      <x:c r="L6" s="43" t="str">
        <x:v>19:00</x:v>
      </x:c>
      <x:c r="M6" s="43" t="str">
        <x:v>21:00</x:v>
      </x:c>
      <x:c r="N6" s="43" t="str">
        <x:v>vegan|vegetarian</x:v>
      </x:c>
      <x:c r="O6" s="43" t="str">
        <x:v>nuts|soy</x:v>
      </x:c>
      <x:c r="P6" s="43" t="str">
        <x:v>https://images.unsplash.com/photo-1540420773420-3366772f4999?auto=format&amp;fit=crop&amp;w=1000&amp;q=80</x:v>
      </x:c>
      <x:c r="Q6" s="43" t="str">
        <x:v>cancelled</x:v>
      </x:c>
      <x:c r="R6" s="44" t="b">
        <x:v>0</x:v>
      </x:c>
      <x:c r="S6" s="43" t="n">
        <x:v>1000</x:v>
      </x:c>
      <x:c r="T6" s="43" t="n">
        <x:v>1620</x:v>
      </x:c>
    </x:row>
    <x:row r="7" ht="22" customHeight="1">
      <x:c r="A7" s="43" t="str">
        <x:v>PACK-0006</x:v>
      </x:c>
      <x:c r="B7" s="43" t="str">
        <x:v>EST-002</x:v>
      </x:c>
      <x:c r="C7" s="43" t="str">
        <x:v>Lote ahorro del día</x:v>
      </x:c>
      <x:c r="D7" s="43" t="str">
        <x:v>Una selección sorpresa preparada con excedentes del día. El contenido puede variar según disponibilidad.</x:v>
      </x:c>
      <x:c r="E7" s="43" t="str">
        <x:v>mixed</x:v>
      </x:c>
      <x:c r="F7" s="48" t="n">
        <x:v>1525</x:v>
      </x:c>
      <x:c r="G7" s="48" t="n">
        <x:v>610</x:v>
      </x:c>
      <x:c r="H7" s="48" t="n">
        <x:v>9</x:v>
      </x:c>
      <x:c r="I7" s="48" t="n">
        <x:v>7</x:v>
      </x:c>
      <x:c r="J7" s="43" t="n">
        <x:v>4</x:v>
      </x:c>
      <x:c r="K7" s="43" t="n">
        <x:v>6</x:v>
      </x:c>
      <x:c r="L7" s="43" t="str">
        <x:v>19:00</x:v>
      </x:c>
      <x:c r="M7" s="43" t="str">
        <x:v>21:00</x:v>
      </x:c>
      <x:c r="N7" s="43" t="str"/>
      <x:c r="O7" s="43" t="str">
        <x:v>gluten|milk|nuts</x:v>
      </x:c>
      <x:c r="P7" s="43" t="str">
        <x:v>https://images.unsplash.com/photo-1565299624946-b28f40a0ae38?auto=format&amp;fit=crop&amp;w=1000&amp;q=80</x:v>
      </x:c>
      <x:c r="Q7" s="43" t="str">
        <x:v>available</x:v>
      </x:c>
      <x:c r="R7" s="44" t="b">
        <x:v>0</x:v>
      </x:c>
      <x:c r="S7" s="43" t="n">
        <x:v>1125</x:v>
      </x:c>
      <x:c r="T7" s="43" t="n">
        <x:v>1800</x:v>
      </x:c>
    </x:row>
    <x:row r="8" ht="22" customHeight="1">
      <x:c r="A8" s="43" t="str">
        <x:v>PACK-0007</x:v>
      </x:c>
      <x:c r="B8" s="43" t="str">
        <x:v>EST-002</x:v>
      </x:c>
      <x:c r="C8" s="43" t="str">
        <x:v>Pack de pan artesano</x:v>
      </x:c>
      <x:c r="D8" s="43" t="str">
        <x:v>Una selección sorpresa preparada con excedentes del día. El contenido puede variar según disponibilidad.</x:v>
      </x:c>
      <x:c r="E8" s="43" t="str">
        <x:v>bakery</x:v>
      </x:c>
      <x:c r="F8" s="48" t="n">
        <x:v>1650</x:v>
      </x:c>
      <x:c r="G8" s="48" t="n">
        <x:v>742</x:v>
      </x:c>
      <x:c r="H8" s="48" t="n">
        <x:v>10</x:v>
      </x:c>
      <x:c r="I8" s="48" t="n">
        <x:v>8</x:v>
      </x:c>
      <x:c r="J8" s="43" t="n">
        <x:v>5</x:v>
      </x:c>
      <x:c r="K8" s="43" t="n">
        <x:v>7</x:v>
      </x:c>
      <x:c r="L8" s="43" t="str">
        <x:v>18:30</x:v>
      </x:c>
      <x:c r="M8" s="43" t="str">
        <x:v>20:00</x:v>
      </x:c>
      <x:c r="N8" s="43" t="str"/>
      <x:c r="O8" s="43" t="str">
        <x:v>gluten|milk|egg</x:v>
      </x:c>
      <x:c r="P8" s="43" t="str">
        <x:v>https://images.unsplash.com/photo-1509440159596-0249088772ff?auto=format&amp;fit=crop&amp;w=1000&amp;q=80</x:v>
      </x:c>
      <x:c r="Q8" s="43" t="str">
        <x:v>available</x:v>
      </x:c>
      <x:c r="R8" s="44" t="b">
        <x:v>0</x:v>
      </x:c>
      <x:c r="S8" s="43" t="n">
        <x:v>1250</x:v>
      </x:c>
      <x:c r="T8" s="43" t="n">
        <x:v>1980</x:v>
      </x:c>
    </x:row>
    <x:row r="9" ht="22" customHeight="1">
      <x:c r="A9" s="43" t="str">
        <x:v>PACK-0008</x:v>
      </x:c>
      <x:c r="B9" s="43" t="str">
        <x:v>EST-002</x:v>
      </x:c>
      <x:c r="C9" s="43" t="str">
        <x:v>Platos listos para disfrutar</x:v>
      </x:c>
      <x:c r="D9" s="43" t="str">
        <x:v>Una selección sorpresa preparada con excedentes del día. El contenido puede variar según disponibilidad.</x:v>
      </x:c>
      <x:c r="E9" s="43" t="str">
        <x:v>prepared_food</x:v>
      </x:c>
      <x:c r="F9" s="48" t="n">
        <x:v>1775</x:v>
      </x:c>
      <x:c r="G9" s="48" t="n">
        <x:v>888</x:v>
      </x:c>
      <x:c r="H9" s="48" t="n">
        <x:v>4</x:v>
      </x:c>
      <x:c r="I9" s="48" t="n">
        <x:v>2</x:v>
      </x:c>
      <x:c r="J9" s="43" t="n">
        <x:v>6</x:v>
      </x:c>
      <x:c r="K9" s="43" t="n">
        <x:v>8</x:v>
      </x:c>
      <x:c r="L9" s="43" t="str">
        <x:v>19:00</x:v>
      </x:c>
      <x:c r="M9" s="43" t="str">
        <x:v>21:00</x:v>
      </x:c>
      <x:c r="N9" s="43" t="str"/>
      <x:c r="O9" s="43" t="str">
        <x:v>gluten|soy</x:v>
      </x:c>
      <x:c r="P9" s="43" t="str">
        <x:v>https://images.unsplash.com/photo-1542838132-92c53300491e?auto=format&amp;fit=crop&amp;w=1000&amp;q=80</x:v>
      </x:c>
      <x:c r="Q9" s="43" t="str">
        <x:v>available</x:v>
      </x:c>
      <x:c r="R9" s="44" t="b">
        <x:v>1</x:v>
      </x:c>
      <x:c r="S9" s="43" t="n">
        <x:v>1375</x:v>
      </x:c>
      <x:c r="T9" s="43" t="n">
        <x:v>2160</x:v>
      </x:c>
    </x:row>
    <x:row r="10" ht="22" customHeight="1">
      <x:c r="A10" s="43" t="str">
        <x:v>PACK-0009</x:v>
      </x:c>
      <x:c r="B10" s="43" t="str">
        <x:v>EST-002</x:v>
      </x:c>
      <x:c r="C10" s="43" t="str">
        <x:v>Caja verde de aprovechamiento</x:v>
      </x:c>
      <x:c r="D10" s="43" t="str">
        <x:v>Una selección sorpresa preparada con excedentes del día. El contenido puede variar según disponibilidad.</x:v>
      </x:c>
      <x:c r="E10" s="43" t="str">
        <x:v>produce</x:v>
      </x:c>
      <x:c r="F10" s="48" t="n">
        <x:v>1900</x:v>
      </x:c>
      <x:c r="G10" s="48" t="n">
        <x:v>665</x:v>
      </x:c>
      <x:c r="H10" s="48" t="n">
        <x:v>5</x:v>
      </x:c>
      <x:c r="I10" s="48" t="n">
        <x:v>0</x:v>
      </x:c>
      <x:c r="J10" s="43" t="n">
        <x:v>7</x:v>
      </x:c>
      <x:c r="K10" s="43" t="n">
        <x:v>9</x:v>
      </x:c>
      <x:c r="L10" s="43" t="str">
        <x:v>18:30</x:v>
      </x:c>
      <x:c r="M10" s="43" t="str">
        <x:v>20:00</x:v>
      </x:c>
      <x:c r="N10" s="43" t="str">
        <x:v>vegan|vegetarian|gluten_free</x:v>
      </x:c>
      <x:c r="O10" s="43" t="str"/>
      <x:c r="P10" s="43" t="str">
        <x:v>https://images.unsplash.com/photo-1547592180-85f173990554?auto=format&amp;fit=crop&amp;w=1000&amp;q=80</x:v>
      </x:c>
      <x:c r="Q10" s="43" t="str">
        <x:v>sold_out</x:v>
      </x:c>
      <x:c r="R10" s="44" t="b">
        <x:v>0</x:v>
      </x:c>
      <x:c r="S10" s="43" t="n">
        <x:v>500</x:v>
      </x:c>
      <x:c r="T10" s="43" t="n">
        <x:v>2340</x:v>
      </x:c>
    </x:row>
    <x:row r="11" ht="22" customHeight="1">
      <x:c r="A11" s="43" t="str">
        <x:v>PACK-0010</x:v>
      </x:c>
      <x:c r="B11" s="43" t="str">
        <x:v>EST-002</x:v>
      </x:c>
      <x:c r="C11" s="43" t="str">
        <x:v>Desayuno completo</x:v>
      </x:c>
      <x:c r="D11" s="43" t="str">
        <x:v>Una selección sorpresa preparada con excedentes del día. El contenido puede variar según disponibilidad.</x:v>
      </x:c>
      <x:c r="E11" s="43" t="str">
        <x:v>breakfast</x:v>
      </x:c>
      <x:c r="F11" s="48" t="n">
        <x:v>900</x:v>
      </x:c>
      <x:c r="G11" s="48" t="n">
        <x:v>360</x:v>
      </x:c>
      <x:c r="H11" s="48" t="n">
        <x:v>6</x:v>
      </x:c>
      <x:c r="I11" s="48" t="n">
        <x:v>4</x:v>
      </x:c>
      <x:c r="J11" s="43" t="n">
        <x:v>8</x:v>
      </x:c>
      <x:c r="K11" s="43" t="n">
        <x:v>10</x:v>
      </x:c>
      <x:c r="L11" s="43" t="str">
        <x:v>19:00</x:v>
      </x:c>
      <x:c r="M11" s="43" t="str">
        <x:v>21:00</x:v>
      </x:c>
      <x:c r="N11" s="43" t="str"/>
      <x:c r="O11" s="43" t="str">
        <x:v>gluten|milk</x:v>
      </x:c>
      <x:c r="P11" s="43" t="str">
        <x:v>https://images.unsplash.com/photo-1495474472287-4d71bcdd2085?auto=format&amp;fit=crop&amp;w=1000&amp;q=80</x:v>
      </x:c>
      <x:c r="Q11" s="43" t="str">
        <x:v>cancelled</x:v>
      </x:c>
      <x:c r="R11" s="44" t="b">
        <x:v>0</x:v>
      </x:c>
      <x:c r="S11" s="43" t="n">
        <x:v>625</x:v>
      </x:c>
      <x:c r="T11" s="43" t="n">
        <x:v>2520</x:v>
      </x:c>
    </x:row>
    <x:row r="12" ht="22" customHeight="1">
      <x:c r="A12" s="43" t="str">
        <x:v>PACK-0011</x:v>
      </x:c>
      <x:c r="B12" s="43" t="str">
        <x:v>EST-003</x:v>
      </x:c>
      <x:c r="C12" s="43" t="str">
        <x:v>Sabores veganos del día</x:v>
      </x:c>
      <x:c r="D12" s="43" t="str">
        <x:v>Una selección sorpresa preparada con excedentes del día. El contenido puede variar según disponibilidad.</x:v>
      </x:c>
      <x:c r="E12" s="43" t="str">
        <x:v>vegan</x:v>
      </x:c>
      <x:c r="F12" s="48" t="n">
        <x:v>1025</x:v>
      </x:c>
      <x:c r="G12" s="48" t="n">
        <x:v>461</x:v>
      </x:c>
      <x:c r="H12" s="48" t="n">
        <x:v>7</x:v>
      </x:c>
      <x:c r="I12" s="48" t="n">
        <x:v>5</x:v>
      </x:c>
      <x:c r="J12" s="43" t="n">
        <x:v>9</x:v>
      </x:c>
      <x:c r="K12" s="43" t="n">
        <x:v>11</x:v>
      </x:c>
      <x:c r="L12" s="43" t="str">
        <x:v>19:00</x:v>
      </x:c>
      <x:c r="M12" s="43" t="str">
        <x:v>21:00</x:v>
      </x:c>
      <x:c r="N12" s="43" t="str">
        <x:v>vegan|vegetarian</x:v>
      </x:c>
      <x:c r="O12" s="43" t="str">
        <x:v>nuts|soy</x:v>
      </x:c>
      <x:c r="P12" s="43" t="str">
        <x:v>https://images.unsplash.com/photo-1540420773420-3366772f4999?auto=format&amp;fit=crop&amp;w=1000&amp;q=80</x:v>
      </x:c>
      <x:c r="Q12" s="43" t="str">
        <x:v>available</x:v>
      </x:c>
      <x:c r="R12" s="44" t="b">
        <x:v>0</x:v>
      </x:c>
      <x:c r="S12" s="43" t="n">
        <x:v>750</x:v>
      </x:c>
      <x:c r="T12" s="43" t="n">
        <x:v>900</x:v>
      </x:c>
    </x:row>
    <x:row r="13" ht="22" customHeight="1">
      <x:c r="A13" s="43" t="str">
        <x:v>PACK-0012</x:v>
      </x:c>
      <x:c r="B13" s="43" t="str">
        <x:v>EST-003</x:v>
      </x:c>
      <x:c r="C13" s="43" t="str">
        <x:v>Lote ahorro del día</x:v>
      </x:c>
      <x:c r="D13" s="43" t="str">
        <x:v>Una selección sorpresa preparada con excedentes del día. El contenido puede variar según disponibilidad.</x:v>
      </x:c>
      <x:c r="E13" s="43" t="str">
        <x:v>mixed</x:v>
      </x:c>
      <x:c r="F13" s="48" t="n">
        <x:v>1150</x:v>
      </x:c>
      <x:c r="G13" s="48" t="n">
        <x:v>575</x:v>
      </x:c>
      <x:c r="H13" s="48" t="n">
        <x:v>8</x:v>
      </x:c>
      <x:c r="I13" s="48" t="n">
        <x:v>6</x:v>
      </x:c>
      <x:c r="J13" s="43" t="n">
        <x:v>10</x:v>
      </x:c>
      <x:c r="K13" s="43" t="n">
        <x:v>12</x:v>
      </x:c>
      <x:c r="L13" s="43" t="str">
        <x:v>18:30</x:v>
      </x:c>
      <x:c r="M13" s="43" t="str">
        <x:v>20:00</x:v>
      </x:c>
      <x:c r="N13" s="43" t="str"/>
      <x:c r="O13" s="43" t="str">
        <x:v>gluten|milk|nuts</x:v>
      </x:c>
      <x:c r="P13" s="43" t="str">
        <x:v>https://images.unsplash.com/photo-1565299624946-b28f40a0ae38?auto=format&amp;fit=crop&amp;w=1000&amp;q=80</x:v>
      </x:c>
      <x:c r="Q13" s="43" t="str">
        <x:v>available</x:v>
      </x:c>
      <x:c r="R13" s="44" t="b">
        <x:v>0</x:v>
      </x:c>
      <x:c r="S13" s="43" t="n">
        <x:v>875</x:v>
      </x:c>
      <x:c r="T13" s="43" t="n">
        <x:v>1080</x:v>
      </x:c>
    </x:row>
    <x:row r="14" ht="22" customHeight="1">
      <x:c r="A14" s="43" t="str">
        <x:v>PACK-0013</x:v>
      </x:c>
      <x:c r="B14" s="43" t="str">
        <x:v>EST-003</x:v>
      </x:c>
      <x:c r="C14" s="43" t="str">
        <x:v>Pack de pan artesano</x:v>
      </x:c>
      <x:c r="D14" s="43" t="str">
        <x:v>Una selección sorpresa preparada con excedentes del día. El contenido puede variar según disponibilidad.</x:v>
      </x:c>
      <x:c r="E14" s="43" t="str">
        <x:v>bakery</x:v>
      </x:c>
      <x:c r="F14" s="48" t="n">
        <x:v>1275</x:v>
      </x:c>
      <x:c r="G14" s="48" t="n">
        <x:v>446</x:v>
      </x:c>
      <x:c r="H14" s="48" t="n">
        <x:v>9</x:v>
      </x:c>
      <x:c r="I14" s="48" t="n">
        <x:v>7</x:v>
      </x:c>
      <x:c r="J14" s="43" t="n">
        <x:v>11</x:v>
      </x:c>
      <x:c r="K14" s="43" t="n">
        <x:v>13</x:v>
      </x:c>
      <x:c r="L14" s="43" t="str">
        <x:v>19:00</x:v>
      </x:c>
      <x:c r="M14" s="43" t="str">
        <x:v>21:00</x:v>
      </x:c>
      <x:c r="N14" s="43" t="str"/>
      <x:c r="O14" s="43" t="str">
        <x:v>gluten|milk|egg</x:v>
      </x:c>
      <x:c r="P14" s="43" t="str">
        <x:v>https://images.unsplash.com/photo-1509440159596-0249088772ff?auto=format&amp;fit=crop&amp;w=1000&amp;q=80</x:v>
      </x:c>
      <x:c r="Q14" s="43" t="str">
        <x:v>available</x:v>
      </x:c>
      <x:c r="R14" s="44" t="b">
        <x:v>0</x:v>
      </x:c>
      <x:c r="S14" s="43" t="n">
        <x:v>1000</x:v>
      </x:c>
      <x:c r="T14" s="43" t="n">
        <x:v>1260</x:v>
      </x:c>
    </x:row>
    <x:row r="15" ht="22" customHeight="1">
      <x:c r="A15" s="43" t="str">
        <x:v>PACK-0014</x:v>
      </x:c>
      <x:c r="B15" s="43" t="str">
        <x:v>EST-003</x:v>
      </x:c>
      <x:c r="C15" s="43" t="str">
        <x:v>Platos listos para disfrutar</x:v>
      </x:c>
      <x:c r="D15" s="43" t="str">
        <x:v>Una selección sorpresa preparada con excedentes del día. El contenido puede variar según disponibilidad.</x:v>
      </x:c>
      <x:c r="E15" s="43" t="str">
        <x:v>prepared_food</x:v>
      </x:c>
      <x:c r="F15" s="48" t="n">
        <x:v>1400</x:v>
      </x:c>
      <x:c r="G15" s="48" t="n">
        <x:v>560</x:v>
      </x:c>
      <x:c r="H15" s="48" t="n">
        <x:v>10</x:v>
      </x:c>
      <x:c r="I15" s="48" t="n">
        <x:v>0</x:v>
      </x:c>
      <x:c r="J15" s="43" t="n">
        <x:v>12</x:v>
      </x:c>
      <x:c r="K15" s="43" t="n">
        <x:v>14</x:v>
      </x:c>
      <x:c r="L15" s="43" t="str">
        <x:v>18:30</x:v>
      </x:c>
      <x:c r="M15" s="43" t="str">
        <x:v>20:00</x:v>
      </x:c>
      <x:c r="N15" s="43" t="str"/>
      <x:c r="O15" s="43" t="str">
        <x:v>gluten|soy</x:v>
      </x:c>
      <x:c r="P15" s="43" t="str">
        <x:v>https://images.unsplash.com/photo-1542838132-92c53300491e?auto=format&amp;fit=crop&amp;w=1000&amp;q=80</x:v>
      </x:c>
      <x:c r="Q15" s="43" t="str">
        <x:v>sold_out</x:v>
      </x:c>
      <x:c r="R15" s="44" t="b">
        <x:v>0</x:v>
      </x:c>
      <x:c r="S15" s="43" t="n">
        <x:v>1125</x:v>
      </x:c>
      <x:c r="T15" s="43" t="n">
        <x:v>1440</x:v>
      </x:c>
    </x:row>
    <x:row r="16" ht="22" customHeight="1">
      <x:c r="A16" s="43" t="str">
        <x:v>PACK-0015</x:v>
      </x:c>
      <x:c r="B16" s="43" t="str">
        <x:v>EST-003</x:v>
      </x:c>
      <x:c r="C16" s="43" t="str">
        <x:v>Caja verde de aprovechamiento</x:v>
      </x:c>
      <x:c r="D16" s="43" t="str">
        <x:v>Una selección sorpresa preparada con excedentes del día. El contenido puede variar según disponibilidad.</x:v>
      </x:c>
      <x:c r="E16" s="43" t="str">
        <x:v>produce</x:v>
      </x:c>
      <x:c r="F16" s="48" t="n">
        <x:v>1525</x:v>
      </x:c>
      <x:c r="G16" s="48" t="n">
        <x:v>686</x:v>
      </x:c>
      <x:c r="H16" s="48" t="n">
        <x:v>4</x:v>
      </x:c>
      <x:c r="I16" s="48" t="n">
        <x:v>2</x:v>
      </x:c>
      <x:c r="J16" s="43" t="n">
        <x:v>-1</x:v>
      </x:c>
      <x:c r="K16" s="43" t="n">
        <x:v>1</x:v>
      </x:c>
      <x:c r="L16" s="43" t="str">
        <x:v>19:00</x:v>
      </x:c>
      <x:c r="M16" s="43" t="str">
        <x:v>21:00</x:v>
      </x:c>
      <x:c r="N16" s="43" t="str">
        <x:v>vegan|vegetarian|gluten_free</x:v>
      </x:c>
      <x:c r="O16" s="43" t="str"/>
      <x:c r="P16" s="43" t="str">
        <x:v>https://images.unsplash.com/photo-1547592180-85f173990554?auto=format&amp;fit=crop&amp;w=1000&amp;q=80</x:v>
      </x:c>
      <x:c r="Q16" s="43" t="str">
        <x:v>cancelled</x:v>
      </x:c>
      <x:c r="R16" s="44" t="b">
        <x:v>0</x:v>
      </x:c>
      <x:c r="S16" s="43" t="n">
        <x:v>1250</x:v>
      </x:c>
      <x:c r="T16" s="43" t="n">
        <x:v>1620</x:v>
      </x:c>
    </x:row>
    <x:row r="17" ht="22" customHeight="1">
      <x:c r="A17" s="43" t="str">
        <x:v>PACK-0016</x:v>
      </x:c>
      <x:c r="B17" s="43" t="str">
        <x:v>EST-004</x:v>
      </x:c>
      <x:c r="C17" s="43" t="str">
        <x:v>Desayuno completo</x:v>
      </x:c>
      <x:c r="D17" s="43" t="str">
        <x:v>Una selección sorpresa preparada con excedentes del día. El contenido puede variar según disponibilidad.</x:v>
      </x:c>
      <x:c r="E17" s="43" t="str">
        <x:v>breakfast</x:v>
      </x:c>
      <x:c r="F17" s="48" t="n">
        <x:v>1650</x:v>
      </x:c>
      <x:c r="G17" s="48" t="n">
        <x:v>825</x:v>
      </x:c>
      <x:c r="H17" s="48" t="n">
        <x:v>5</x:v>
      </x:c>
      <x:c r="I17" s="48" t="n">
        <x:v>3</x:v>
      </x:c>
      <x:c r="J17" s="43" t="n">
        <x:v>0</x:v>
      </x:c>
      <x:c r="K17" s="43" t="n">
        <x:v>2</x:v>
      </x:c>
      <x:c r="L17" s="43" t="str">
        <x:v>19:00</x:v>
      </x:c>
      <x:c r="M17" s="43" t="str">
        <x:v>21:00</x:v>
      </x:c>
      <x:c r="N17" s="43" t="str"/>
      <x:c r="O17" s="43" t="str">
        <x:v>gluten|milk</x:v>
      </x:c>
      <x:c r="P17" s="43" t="str">
        <x:v>https://images.unsplash.com/photo-1495474472287-4d71bcdd2085?auto=format&amp;fit=crop&amp;w=1000&amp;q=80</x:v>
      </x:c>
      <x:c r="Q17" s="43" t="str">
        <x:v>available</x:v>
      </x:c>
      <x:c r="R17" s="44" t="b">
        <x:v>0</x:v>
      </x:c>
      <x:c r="S17" s="43" t="n">
        <x:v>1375</x:v>
      </x:c>
      <x:c r="T17" s="43" t="n">
        <x:v>1800</x:v>
      </x:c>
    </x:row>
    <x:row r="18" ht="22" customHeight="1">
      <x:c r="A18" s="43" t="str">
        <x:v>PACK-0017</x:v>
      </x:c>
      <x:c r="B18" s="43" t="str">
        <x:v>EST-004</x:v>
      </x:c>
      <x:c r="C18" s="43" t="str">
        <x:v>Sabores veganos del día</x:v>
      </x:c>
      <x:c r="D18" s="43" t="str">
        <x:v>Una selección sorpresa preparada con excedentes del día. El contenido puede variar según disponibilidad.</x:v>
      </x:c>
      <x:c r="E18" s="43" t="str">
        <x:v>vegan</x:v>
      </x:c>
      <x:c r="F18" s="48" t="n">
        <x:v>1775</x:v>
      </x:c>
      <x:c r="G18" s="48" t="n">
        <x:v>621</x:v>
      </x:c>
      <x:c r="H18" s="48" t="n">
        <x:v>6</x:v>
      </x:c>
      <x:c r="I18" s="48" t="n">
        <x:v>4</x:v>
      </x:c>
      <x:c r="J18" s="43" t="n">
        <x:v>1</x:v>
      </x:c>
      <x:c r="K18" s="43" t="n">
        <x:v>3</x:v>
      </x:c>
      <x:c r="L18" s="43" t="str">
        <x:v>18:30</x:v>
      </x:c>
      <x:c r="M18" s="43" t="str">
        <x:v>20:00</x:v>
      </x:c>
      <x:c r="N18" s="43" t="str">
        <x:v>vegan|vegetarian</x:v>
      </x:c>
      <x:c r="O18" s="43" t="str">
        <x:v>nuts|soy</x:v>
      </x:c>
      <x:c r="P18" s="43" t="str">
        <x:v>https://images.unsplash.com/photo-1540420773420-3366772f4999?auto=format&amp;fit=crop&amp;w=1000&amp;q=80</x:v>
      </x:c>
      <x:c r="Q18" s="43" t="str">
        <x:v>available</x:v>
      </x:c>
      <x:c r="R18" s="44" t="b">
        <x:v>0</x:v>
      </x:c>
      <x:c r="S18" s="43" t="n">
        <x:v>500</x:v>
      </x:c>
      <x:c r="T18" s="43" t="n">
        <x:v>1980</x:v>
      </x:c>
    </x:row>
    <x:row r="19" ht="22" customHeight="1">
      <x:c r="A19" s="43" t="str">
        <x:v>PACK-0018</x:v>
      </x:c>
      <x:c r="B19" s="43" t="str">
        <x:v>EST-004</x:v>
      </x:c>
      <x:c r="C19" s="43" t="str">
        <x:v>Lote ahorro del día</x:v>
      </x:c>
      <x:c r="D19" s="43" t="str">
        <x:v>Una selección sorpresa preparada con excedentes del día. El contenido puede variar según disponibilidad.</x:v>
      </x:c>
      <x:c r="E19" s="43" t="str">
        <x:v>mixed</x:v>
      </x:c>
      <x:c r="F19" s="48" t="n">
        <x:v>1900</x:v>
      </x:c>
      <x:c r="G19" s="48" t="n">
        <x:v>760</x:v>
      </x:c>
      <x:c r="H19" s="48" t="n">
        <x:v>7</x:v>
      </x:c>
      <x:c r="I19" s="48" t="n">
        <x:v>5</x:v>
      </x:c>
      <x:c r="J19" s="43" t="n">
        <x:v>2</x:v>
      </x:c>
      <x:c r="K19" s="43" t="n">
        <x:v>4</x:v>
      </x:c>
      <x:c r="L19" s="43" t="str">
        <x:v>19:00</x:v>
      </x:c>
      <x:c r="M19" s="43" t="str">
        <x:v>21:00</x:v>
      </x:c>
      <x:c r="N19" s="43" t="str"/>
      <x:c r="O19" s="43" t="str">
        <x:v>gluten|milk|nuts</x:v>
      </x:c>
      <x:c r="P19" s="43" t="str">
        <x:v>https://images.unsplash.com/photo-1565299624946-b28f40a0ae38?auto=format&amp;fit=crop&amp;w=1000&amp;q=80</x:v>
      </x:c>
      <x:c r="Q19" s="43" t="str">
        <x:v>available</x:v>
      </x:c>
      <x:c r="R19" s="44" t="b">
        <x:v>0</x:v>
      </x:c>
      <x:c r="S19" s="43" t="n">
        <x:v>625</x:v>
      </x:c>
      <x:c r="T19" s="43" t="n">
        <x:v>2160</x:v>
      </x:c>
    </x:row>
    <x:row r="20" ht="22" customHeight="1">
      <x:c r="A20" s="43" t="str">
        <x:v>PACK-0019</x:v>
      </x:c>
      <x:c r="B20" s="43" t="str">
        <x:v>EST-004</x:v>
      </x:c>
      <x:c r="C20" s="43" t="str">
        <x:v>Pack de pan artesano</x:v>
      </x:c>
      <x:c r="D20" s="43" t="str">
        <x:v>Una selección sorpresa preparada con excedentes del día. El contenido puede variar según disponibilidad.</x:v>
      </x:c>
      <x:c r="E20" s="43" t="str">
        <x:v>bakery</x:v>
      </x:c>
      <x:c r="F20" s="48" t="n">
        <x:v>900</x:v>
      </x:c>
      <x:c r="G20" s="48" t="n">
        <x:v>405</x:v>
      </x:c>
      <x:c r="H20" s="48" t="n">
        <x:v>8</x:v>
      </x:c>
      <x:c r="I20" s="48" t="n">
        <x:v>0</x:v>
      </x:c>
      <x:c r="J20" s="43" t="n">
        <x:v>3</x:v>
      </x:c>
      <x:c r="K20" s="43" t="n">
        <x:v>5</x:v>
      </x:c>
      <x:c r="L20" s="43" t="str">
        <x:v>18:30</x:v>
      </x:c>
      <x:c r="M20" s="43" t="str">
        <x:v>20:00</x:v>
      </x:c>
      <x:c r="N20" s="43" t="str"/>
      <x:c r="O20" s="43" t="str">
        <x:v>gluten|milk|egg</x:v>
      </x:c>
      <x:c r="P20" s="43" t="str">
        <x:v>https://images.unsplash.com/photo-1509440159596-0249088772ff?auto=format&amp;fit=crop&amp;w=1000&amp;q=80</x:v>
      </x:c>
      <x:c r="Q20" s="43" t="str">
        <x:v>sold_out</x:v>
      </x:c>
      <x:c r="R20" s="44" t="b">
        <x:v>0</x:v>
      </x:c>
      <x:c r="S20" s="43" t="n">
        <x:v>750</x:v>
      </x:c>
      <x:c r="T20" s="43" t="n">
        <x:v>2340</x:v>
      </x:c>
    </x:row>
    <x:row r="21" ht="22" customHeight="1">
      <x:c r="A21" s="43" t="str">
        <x:v>PACK-0020</x:v>
      </x:c>
      <x:c r="B21" s="43" t="str">
        <x:v>EST-004</x:v>
      </x:c>
      <x:c r="C21" s="43" t="str">
        <x:v>Platos listos para disfrutar</x:v>
      </x:c>
      <x:c r="D21" s="43" t="str">
        <x:v>Una selección sorpresa preparada con excedentes del día. El contenido puede variar según disponibilidad.</x:v>
      </x:c>
      <x:c r="E21" s="43" t="str">
        <x:v>prepared_food</x:v>
      </x:c>
      <x:c r="F21" s="48" t="n">
        <x:v>1025</x:v>
      </x:c>
      <x:c r="G21" s="48" t="n">
        <x:v>513</x:v>
      </x:c>
      <x:c r="H21" s="48" t="n">
        <x:v>9</x:v>
      </x:c>
      <x:c r="I21" s="48" t="n">
        <x:v>7</x:v>
      </x:c>
      <x:c r="J21" s="43" t="n">
        <x:v>4</x:v>
      </x:c>
      <x:c r="K21" s="43" t="n">
        <x:v>6</x:v>
      </x:c>
      <x:c r="L21" s="43" t="str">
        <x:v>19:00</x:v>
      </x:c>
      <x:c r="M21" s="43" t="str">
        <x:v>21:00</x:v>
      </x:c>
      <x:c r="N21" s="43" t="str"/>
      <x:c r="O21" s="43" t="str">
        <x:v>gluten|soy</x:v>
      </x:c>
      <x:c r="P21" s="43" t="str">
        <x:v>https://images.unsplash.com/photo-1542838132-92c53300491e?auto=format&amp;fit=crop&amp;w=1000&amp;q=80</x:v>
      </x:c>
      <x:c r="Q21" s="43" t="str">
        <x:v>cancelled</x:v>
      </x:c>
      <x:c r="R21" s="44" t="b">
        <x:v>0</x:v>
      </x:c>
      <x:c r="S21" s="43" t="n">
        <x:v>875</x:v>
      </x:c>
      <x:c r="T21" s="43" t="n">
        <x:v>2520</x:v>
      </x:c>
    </x:row>
    <x:row r="22" ht="22" customHeight="1">
      <x:c r="A22" s="43" t="str">
        <x:v>PACK-0021</x:v>
      </x:c>
      <x:c r="B22" s="43" t="str">
        <x:v>EST-005</x:v>
      </x:c>
      <x:c r="C22" s="43" t="str">
        <x:v>Caja verde de aprovechamiento</x:v>
      </x:c>
      <x:c r="D22" s="43" t="str">
        <x:v>Una selección sorpresa preparada con excedentes del día. El contenido puede variar según disponibilidad.</x:v>
      </x:c>
      <x:c r="E22" s="43" t="str">
        <x:v>produce</x:v>
      </x:c>
      <x:c r="F22" s="48" t="n">
        <x:v>1150</x:v>
      </x:c>
      <x:c r="G22" s="48" t="n">
        <x:v>403</x:v>
      </x:c>
      <x:c r="H22" s="48" t="n">
        <x:v>10</x:v>
      </x:c>
      <x:c r="I22" s="48" t="n">
        <x:v>8</x:v>
      </x:c>
      <x:c r="J22" s="43" t="n">
        <x:v>5</x:v>
      </x:c>
      <x:c r="K22" s="43" t="n">
        <x:v>7</x:v>
      </x:c>
      <x:c r="L22" s="43" t="str">
        <x:v>19:00</x:v>
      </x:c>
      <x:c r="M22" s="43" t="str">
        <x:v>21:00</x:v>
      </x:c>
      <x:c r="N22" s="43" t="str">
        <x:v>vegan|vegetarian|gluten_free</x:v>
      </x:c>
      <x:c r="O22" s="43" t="str"/>
      <x:c r="P22" s="43" t="str">
        <x:v>https://images.unsplash.com/photo-1547592180-85f173990554?auto=format&amp;fit=crop&amp;w=1000&amp;q=80</x:v>
      </x:c>
      <x:c r="Q22" s="43" t="str">
        <x:v>available</x:v>
      </x:c>
      <x:c r="R22" s="44" t="b">
        <x:v>0</x:v>
      </x:c>
      <x:c r="S22" s="43" t="n">
        <x:v>1000</x:v>
      </x:c>
      <x:c r="T22" s="43" t="n">
        <x:v>900</x:v>
      </x:c>
    </x:row>
    <x:row r="23" ht="22" customHeight="1">
      <x:c r="A23" s="43" t="str">
        <x:v>PACK-0022</x:v>
      </x:c>
      <x:c r="B23" s="43" t="str">
        <x:v>EST-005</x:v>
      </x:c>
      <x:c r="C23" s="43" t="str">
        <x:v>Desayuno completo</x:v>
      </x:c>
      <x:c r="D23" s="43" t="str">
        <x:v>Una selección sorpresa preparada con excedentes del día. El contenido puede variar según disponibilidad.</x:v>
      </x:c>
      <x:c r="E23" s="43" t="str">
        <x:v>breakfast</x:v>
      </x:c>
      <x:c r="F23" s="48" t="n">
        <x:v>1275</x:v>
      </x:c>
      <x:c r="G23" s="48" t="n">
        <x:v>510</x:v>
      </x:c>
      <x:c r="H23" s="48" t="n">
        <x:v>4</x:v>
      </x:c>
      <x:c r="I23" s="48" t="n">
        <x:v>2</x:v>
      </x:c>
      <x:c r="J23" s="43" t="n">
        <x:v>6</x:v>
      </x:c>
      <x:c r="K23" s="43" t="n">
        <x:v>8</x:v>
      </x:c>
      <x:c r="L23" s="43" t="str">
        <x:v>18:30</x:v>
      </x:c>
      <x:c r="M23" s="43" t="str">
        <x:v>20:00</x:v>
      </x:c>
      <x:c r="N23" s="43" t="str"/>
      <x:c r="O23" s="43" t="str">
        <x:v>gluten|milk</x:v>
      </x:c>
      <x:c r="P23" s="43" t="str">
        <x:v>https://images.unsplash.com/photo-1495474472287-4d71bcdd2085?auto=format&amp;fit=crop&amp;w=1000&amp;q=80</x:v>
      </x:c>
      <x:c r="Q23" s="43" t="str">
        <x:v>available</x:v>
      </x:c>
      <x:c r="R23" s="44" t="b">
        <x:v>1</x:v>
      </x:c>
      <x:c r="S23" s="43" t="n">
        <x:v>1125</x:v>
      </x:c>
      <x:c r="T23" s="43" t="n">
        <x:v>1080</x:v>
      </x:c>
    </x:row>
    <x:row r="24" ht="22" customHeight="1">
      <x:c r="A24" s="43" t="str">
        <x:v>PACK-0023</x:v>
      </x:c>
      <x:c r="B24" s="43" t="str">
        <x:v>EST-005</x:v>
      </x:c>
      <x:c r="C24" s="43" t="str">
        <x:v>Sabores veganos del día</x:v>
      </x:c>
      <x:c r="D24" s="43" t="str">
        <x:v>Una selección sorpresa preparada con excedentes del día. El contenido puede variar según disponibilidad.</x:v>
      </x:c>
      <x:c r="E24" s="43" t="str">
        <x:v>vegan</x:v>
      </x:c>
      <x:c r="F24" s="48" t="n">
        <x:v>1400</x:v>
      </x:c>
      <x:c r="G24" s="48" t="n">
        <x:v>630</x:v>
      </x:c>
      <x:c r="H24" s="48" t="n">
        <x:v>5</x:v>
      </x:c>
      <x:c r="I24" s="48" t="n">
        <x:v>3</x:v>
      </x:c>
      <x:c r="J24" s="43" t="n">
        <x:v>7</x:v>
      </x:c>
      <x:c r="K24" s="43" t="n">
        <x:v>9</x:v>
      </x:c>
      <x:c r="L24" s="43" t="str">
        <x:v>19:00</x:v>
      </x:c>
      <x:c r="M24" s="43" t="str">
        <x:v>21:00</x:v>
      </x:c>
      <x:c r="N24" s="43" t="str">
        <x:v>vegan|vegetarian</x:v>
      </x:c>
      <x:c r="O24" s="43" t="str">
        <x:v>nuts|soy</x:v>
      </x:c>
      <x:c r="P24" s="43" t="str">
        <x:v>https://images.unsplash.com/photo-1540420773420-3366772f4999?auto=format&amp;fit=crop&amp;w=1000&amp;q=80</x:v>
      </x:c>
      <x:c r="Q24" s="43" t="str">
        <x:v>available</x:v>
      </x:c>
      <x:c r="R24" s="44" t="b">
        <x:v>0</x:v>
      </x:c>
      <x:c r="S24" s="43" t="n">
        <x:v>1250</x:v>
      </x:c>
      <x:c r="T24" s="43" t="n">
        <x:v>1260</x:v>
      </x:c>
    </x:row>
    <x:row r="25" ht="22" customHeight="1">
      <x:c r="A25" s="43" t="str">
        <x:v>PACK-0024</x:v>
      </x:c>
      <x:c r="B25" s="43" t="str">
        <x:v>EST-005</x:v>
      </x:c>
      <x:c r="C25" s="43" t="str">
        <x:v>Lote ahorro del día</x:v>
      </x:c>
      <x:c r="D25" s="43" t="str">
        <x:v>Una selección sorpresa preparada con excedentes del día. El contenido puede variar según disponibilidad.</x:v>
      </x:c>
      <x:c r="E25" s="43" t="str">
        <x:v>mixed</x:v>
      </x:c>
      <x:c r="F25" s="48" t="n">
        <x:v>1525</x:v>
      </x:c>
      <x:c r="G25" s="48" t="n">
        <x:v>763</x:v>
      </x:c>
      <x:c r="H25" s="48" t="n">
        <x:v>6</x:v>
      </x:c>
      <x:c r="I25" s="48" t="n">
        <x:v>0</x:v>
      </x:c>
      <x:c r="J25" s="43" t="n">
        <x:v>8</x:v>
      </x:c>
      <x:c r="K25" s="43" t="n">
        <x:v>10</x:v>
      </x:c>
      <x:c r="L25" s="43" t="str">
        <x:v>18:30</x:v>
      </x:c>
      <x:c r="M25" s="43" t="str">
        <x:v>20:00</x:v>
      </x:c>
      <x:c r="N25" s="43" t="str"/>
      <x:c r="O25" s="43" t="str">
        <x:v>gluten|milk|nuts</x:v>
      </x:c>
      <x:c r="P25" s="43" t="str">
        <x:v>https://images.unsplash.com/photo-1565299624946-b28f40a0ae38?auto=format&amp;fit=crop&amp;w=1000&amp;q=80</x:v>
      </x:c>
      <x:c r="Q25" s="43" t="str">
        <x:v>sold_out</x:v>
      </x:c>
      <x:c r="R25" s="44" t="b">
        <x:v>0</x:v>
      </x:c>
      <x:c r="S25" s="43" t="n">
        <x:v>1375</x:v>
      </x:c>
      <x:c r="T25" s="43" t="n">
        <x:v>1440</x:v>
      </x:c>
    </x:row>
    <x:row r="26" ht="22" customHeight="1">
      <x:c r="A26" s="43" t="str">
        <x:v>PACK-0025</x:v>
      </x:c>
      <x:c r="B26" s="43" t="str">
        <x:v>EST-005</x:v>
      </x:c>
      <x:c r="C26" s="43" t="str">
        <x:v>Pack de pan artesano</x:v>
      </x:c>
      <x:c r="D26" s="43" t="str">
        <x:v>Una selección sorpresa preparada con excedentes del día. El contenido puede variar según disponibilidad.</x:v>
      </x:c>
      <x:c r="E26" s="43" t="str">
        <x:v>bakery</x:v>
      </x:c>
      <x:c r="F26" s="48" t="n">
        <x:v>1650</x:v>
      </x:c>
      <x:c r="G26" s="48" t="n">
        <x:v>578</x:v>
      </x:c>
      <x:c r="H26" s="48" t="n">
        <x:v>7</x:v>
      </x:c>
      <x:c r="I26" s="48" t="n">
        <x:v>5</x:v>
      </x:c>
      <x:c r="J26" s="43" t="n">
        <x:v>9</x:v>
      </x:c>
      <x:c r="K26" s="43" t="n">
        <x:v>11</x:v>
      </x:c>
      <x:c r="L26" s="43" t="str">
        <x:v>19:00</x:v>
      </x:c>
      <x:c r="M26" s="43" t="str">
        <x:v>21:00</x:v>
      </x:c>
      <x:c r="N26" s="43" t="str"/>
      <x:c r="O26" s="43" t="str">
        <x:v>gluten|milk|egg</x:v>
      </x:c>
      <x:c r="P26" s="43" t="str">
        <x:v>https://images.unsplash.com/photo-1509440159596-0249088772ff?auto=format&amp;fit=crop&amp;w=1000&amp;q=80</x:v>
      </x:c>
      <x:c r="Q26" s="43" t="str">
        <x:v>cancelled</x:v>
      </x:c>
      <x:c r="R26" s="44" t="b">
        <x:v>0</x:v>
      </x:c>
      <x:c r="S26" s="43" t="n">
        <x:v>500</x:v>
      </x:c>
      <x:c r="T26" s="43" t="n">
        <x:v>1620</x:v>
      </x:c>
    </x:row>
    <x:row r="27" ht="22" customHeight="1">
      <x:c r="A27" s="43" t="str">
        <x:v>PACK-0026</x:v>
      </x:c>
      <x:c r="B27" s="43" t="str">
        <x:v>EST-006</x:v>
      </x:c>
      <x:c r="C27" s="43" t="str">
        <x:v>Platos listos para disfrutar</x:v>
      </x:c>
      <x:c r="D27" s="43" t="str">
        <x:v>Una selección sorpresa preparada con excedentes del día. El contenido puede variar según disponibilidad.</x:v>
      </x:c>
      <x:c r="E27" s="43" t="str">
        <x:v>prepared_food</x:v>
      </x:c>
      <x:c r="F27" s="48" t="n">
        <x:v>1775</x:v>
      </x:c>
      <x:c r="G27" s="48" t="n">
        <x:v>710</x:v>
      </x:c>
      <x:c r="H27" s="48" t="n">
        <x:v>8</x:v>
      </x:c>
      <x:c r="I27" s="48" t="n">
        <x:v>6</x:v>
      </x:c>
      <x:c r="J27" s="43" t="n">
        <x:v>10</x:v>
      </x:c>
      <x:c r="K27" s="43" t="n">
        <x:v>12</x:v>
      </x:c>
      <x:c r="L27" s="43" t="str">
        <x:v>19:00</x:v>
      </x:c>
      <x:c r="M27" s="43" t="str">
        <x:v>21:00</x:v>
      </x:c>
      <x:c r="N27" s="43" t="str"/>
      <x:c r="O27" s="43" t="str">
        <x:v>gluten|soy</x:v>
      </x:c>
      <x:c r="P27" s="43" t="str">
        <x:v>https://images.unsplash.com/photo-1542838132-92c53300491e?auto=format&amp;fit=crop&amp;w=1000&amp;q=80</x:v>
      </x:c>
      <x:c r="Q27" s="43" t="str">
        <x:v>available</x:v>
      </x:c>
      <x:c r="R27" s="44" t="b">
        <x:v>0</x:v>
      </x:c>
      <x:c r="S27" s="43" t="n">
        <x:v>625</x:v>
      </x:c>
      <x:c r="T27" s="43" t="n">
        <x:v>1800</x:v>
      </x:c>
    </x:row>
    <x:row r="28" ht="22" customHeight="1">
      <x:c r="A28" s="43" t="str">
        <x:v>PACK-0027</x:v>
      </x:c>
      <x:c r="B28" s="43" t="str">
        <x:v>EST-006</x:v>
      </x:c>
      <x:c r="C28" s="43" t="str">
        <x:v>Caja verde de aprovechamiento</x:v>
      </x:c>
      <x:c r="D28" s="43" t="str">
        <x:v>Una selección sorpresa preparada con excedentes del día. El contenido puede variar según disponibilidad.</x:v>
      </x:c>
      <x:c r="E28" s="43" t="str">
        <x:v>produce</x:v>
      </x:c>
      <x:c r="F28" s="48" t="n">
        <x:v>1900</x:v>
      </x:c>
      <x:c r="G28" s="48" t="n">
        <x:v>855</x:v>
      </x:c>
      <x:c r="H28" s="48" t="n">
        <x:v>9</x:v>
      </x:c>
      <x:c r="I28" s="48" t="n">
        <x:v>7</x:v>
      </x:c>
      <x:c r="J28" s="43" t="n">
        <x:v>11</x:v>
      </x:c>
      <x:c r="K28" s="43" t="n">
        <x:v>13</x:v>
      </x:c>
      <x:c r="L28" s="43" t="str">
        <x:v>18:30</x:v>
      </x:c>
      <x:c r="M28" s="43" t="str">
        <x:v>20:00</x:v>
      </x:c>
      <x:c r="N28" s="43" t="str">
        <x:v>vegan|vegetarian|gluten_free</x:v>
      </x:c>
      <x:c r="O28" s="43" t="str"/>
      <x:c r="P28" s="43" t="str">
        <x:v>https://images.unsplash.com/photo-1547592180-85f173990554?auto=format&amp;fit=crop&amp;w=1000&amp;q=80</x:v>
      </x:c>
      <x:c r="Q28" s="43" t="str">
        <x:v>available</x:v>
      </x:c>
      <x:c r="R28" s="44" t="b">
        <x:v>0</x:v>
      </x:c>
      <x:c r="S28" s="43" t="n">
        <x:v>750</x:v>
      </x:c>
      <x:c r="T28" s="43" t="n">
        <x:v>1980</x:v>
      </x:c>
    </x:row>
    <x:row r="29" ht="22" customHeight="1">
      <x:c r="A29" s="43" t="str">
        <x:v>PACK-0028</x:v>
      </x:c>
      <x:c r="B29" s="43" t="str">
        <x:v>EST-006</x:v>
      </x:c>
      <x:c r="C29" s="43" t="str">
        <x:v>Desayuno completo</x:v>
      </x:c>
      <x:c r="D29" s="43" t="str">
        <x:v>Una selección sorpresa preparada con excedentes del día. El contenido puede variar según disponibilidad.</x:v>
      </x:c>
      <x:c r="E29" s="43" t="str">
        <x:v>breakfast</x:v>
      </x:c>
      <x:c r="F29" s="48" t="n">
        <x:v>900</x:v>
      </x:c>
      <x:c r="G29" s="48" t="n">
        <x:v>450</x:v>
      </x:c>
      <x:c r="H29" s="48" t="n">
        <x:v>10</x:v>
      </x:c>
      <x:c r="I29" s="48" t="n">
        <x:v>8</x:v>
      </x:c>
      <x:c r="J29" s="43" t="n">
        <x:v>12</x:v>
      </x:c>
      <x:c r="K29" s="43" t="n">
        <x:v>14</x:v>
      </x:c>
      <x:c r="L29" s="43" t="str">
        <x:v>19:00</x:v>
      </x:c>
      <x:c r="M29" s="43" t="str">
        <x:v>21:00</x:v>
      </x:c>
      <x:c r="N29" s="43" t="str"/>
      <x:c r="O29" s="43" t="str">
        <x:v>gluten|milk</x:v>
      </x:c>
      <x:c r="P29" s="43" t="str">
        <x:v>https://images.unsplash.com/photo-1495474472287-4d71bcdd2085?auto=format&amp;fit=crop&amp;w=1000&amp;q=80</x:v>
      </x:c>
      <x:c r="Q29" s="43" t="str">
        <x:v>available</x:v>
      </x:c>
      <x:c r="R29" s="44" t="b">
        <x:v>0</x:v>
      </x:c>
      <x:c r="S29" s="43" t="n">
        <x:v>875</x:v>
      </x:c>
      <x:c r="T29" s="43" t="n">
        <x:v>2160</x:v>
      </x:c>
    </x:row>
    <x:row r="30" ht="22" customHeight="1">
      <x:c r="A30" s="43" t="str">
        <x:v>PACK-0029</x:v>
      </x:c>
      <x:c r="B30" s="43" t="str">
        <x:v>EST-006</x:v>
      </x:c>
      <x:c r="C30" s="43" t="str">
        <x:v>Sabores veganos del día</x:v>
      </x:c>
      <x:c r="D30" s="43" t="str">
        <x:v>Una selección sorpresa preparada con excedentes del día. El contenido puede variar según disponibilidad.</x:v>
      </x:c>
      <x:c r="E30" s="43" t="str">
        <x:v>vegan</x:v>
      </x:c>
      <x:c r="F30" s="48" t="n">
        <x:v>1025</x:v>
      </x:c>
      <x:c r="G30" s="48" t="n">
        <x:v>359</x:v>
      </x:c>
      <x:c r="H30" s="48" t="n">
        <x:v>4</x:v>
      </x:c>
      <x:c r="I30" s="48" t="n">
        <x:v>0</x:v>
      </x:c>
      <x:c r="J30" s="43" t="n">
        <x:v>-1</x:v>
      </x:c>
      <x:c r="K30" s="43" t="n">
        <x:v>1</x:v>
      </x:c>
      <x:c r="L30" s="43" t="str">
        <x:v>18:30</x:v>
      </x:c>
      <x:c r="M30" s="43" t="str">
        <x:v>20:00</x:v>
      </x:c>
      <x:c r="N30" s="43" t="str">
        <x:v>vegan|vegetarian</x:v>
      </x:c>
      <x:c r="O30" s="43" t="str">
        <x:v>nuts|soy</x:v>
      </x:c>
      <x:c r="P30" s="43" t="str">
        <x:v>https://images.unsplash.com/photo-1540420773420-3366772f4999?auto=format&amp;fit=crop&amp;w=1000&amp;q=80</x:v>
      </x:c>
      <x:c r="Q30" s="43" t="str">
        <x:v>sold_out</x:v>
      </x:c>
      <x:c r="R30" s="44" t="b">
        <x:v>0</x:v>
      </x:c>
      <x:c r="S30" s="43" t="n">
        <x:v>1000</x:v>
      </x:c>
      <x:c r="T30" s="43" t="n">
        <x:v>2340</x:v>
      </x:c>
    </x:row>
    <x:row r="31" ht="22" customHeight="1">
      <x:c r="A31" s="43" t="str">
        <x:v>PACK-0030</x:v>
      </x:c>
      <x:c r="B31" s="43" t="str">
        <x:v>EST-006</x:v>
      </x:c>
      <x:c r="C31" s="43" t="str">
        <x:v>Lote ahorro del día</x:v>
      </x:c>
      <x:c r="D31" s="43" t="str">
        <x:v>Una selección sorpresa preparada con excedentes del día. El contenido puede variar según disponibilidad.</x:v>
      </x:c>
      <x:c r="E31" s="43" t="str">
        <x:v>mixed</x:v>
      </x:c>
      <x:c r="F31" s="48" t="n">
        <x:v>1150</x:v>
      </x:c>
      <x:c r="G31" s="48" t="n">
        <x:v>460</x:v>
      </x:c>
      <x:c r="H31" s="48" t="n">
        <x:v>5</x:v>
      </x:c>
      <x:c r="I31" s="48" t="n">
        <x:v>3</x:v>
      </x:c>
      <x:c r="J31" s="43" t="n">
        <x:v>0</x:v>
      </x:c>
      <x:c r="K31" s="43" t="n">
        <x:v>2</x:v>
      </x:c>
      <x:c r="L31" s="43" t="str">
        <x:v>19:00</x:v>
      </x:c>
      <x:c r="M31" s="43" t="str">
        <x:v>21:00</x:v>
      </x:c>
      <x:c r="N31" s="43" t="str"/>
      <x:c r="O31" s="43" t="str">
        <x:v>gluten|milk|nuts</x:v>
      </x:c>
      <x:c r="P31" s="43" t="str">
        <x:v>https://images.unsplash.com/photo-1565299624946-b28f40a0ae38?auto=format&amp;fit=crop&amp;w=1000&amp;q=80</x:v>
      </x:c>
      <x:c r="Q31" s="43" t="str">
        <x:v>cancelled</x:v>
      </x:c>
      <x:c r="R31" s="44" t="b">
        <x:v>0</x:v>
      </x:c>
      <x:c r="S31" s="43" t="n">
        <x:v>1125</x:v>
      </x:c>
      <x:c r="T31" s="43" t="n">
        <x:v>2520</x:v>
      </x:c>
    </x:row>
    <x:row r="32" ht="22" customHeight="1">
      <x:c r="A32" s="43" t="str">
        <x:v>PACK-0031</x:v>
      </x:c>
      <x:c r="B32" s="43" t="str">
        <x:v>EST-007</x:v>
      </x:c>
      <x:c r="C32" s="43" t="str">
        <x:v>Pack de pan artesano</x:v>
      </x:c>
      <x:c r="D32" s="43" t="str">
        <x:v>Una selección sorpresa preparada con excedentes del día. El contenido puede variar según disponibilidad.</x:v>
      </x:c>
      <x:c r="E32" s="43" t="str">
        <x:v>bakery</x:v>
      </x:c>
      <x:c r="F32" s="48" t="n">
        <x:v>1275</x:v>
      </x:c>
      <x:c r="G32" s="48" t="n">
        <x:v>574</x:v>
      </x:c>
      <x:c r="H32" s="48" t="n">
        <x:v>6</x:v>
      </x:c>
      <x:c r="I32" s="48" t="n">
        <x:v>4</x:v>
      </x:c>
      <x:c r="J32" s="43" t="n">
        <x:v>1</x:v>
      </x:c>
      <x:c r="K32" s="43" t="n">
        <x:v>3</x:v>
      </x:c>
      <x:c r="L32" s="43" t="str">
        <x:v>19:00</x:v>
      </x:c>
      <x:c r="M32" s="43" t="str">
        <x:v>21:00</x:v>
      </x:c>
      <x:c r="N32" s="43" t="str"/>
      <x:c r="O32" s="43" t="str">
        <x:v>gluten|milk|egg</x:v>
      </x:c>
      <x:c r="P32" s="43" t="str">
        <x:v>https://images.unsplash.com/photo-1509440159596-0249088772ff?auto=format&amp;fit=crop&amp;w=1000&amp;q=80</x:v>
      </x:c>
      <x:c r="Q32" s="43" t="str">
        <x:v>available</x:v>
      </x:c>
      <x:c r="R32" s="44" t="b">
        <x:v>0</x:v>
      </x:c>
      <x:c r="S32" s="43" t="n">
        <x:v>1250</x:v>
      </x:c>
      <x:c r="T32" s="43" t="n">
        <x:v>900</x:v>
      </x:c>
    </x:row>
    <x:row r="33" ht="22" customHeight="1">
      <x:c r="A33" s="43" t="str">
        <x:v>PACK-0032</x:v>
      </x:c>
      <x:c r="B33" s="43" t="str">
        <x:v>EST-007</x:v>
      </x:c>
      <x:c r="C33" s="43" t="str">
        <x:v>Platos listos para disfrutar</x:v>
      </x:c>
      <x:c r="D33" s="43" t="str">
        <x:v>Una selección sorpresa preparada con excedentes del día. El contenido puede variar según disponibilidad.</x:v>
      </x:c>
      <x:c r="E33" s="43" t="str">
        <x:v>prepared_food</x:v>
      </x:c>
      <x:c r="F33" s="48" t="n">
        <x:v>1400</x:v>
      </x:c>
      <x:c r="G33" s="48" t="n">
        <x:v>700</x:v>
      </x:c>
      <x:c r="H33" s="48" t="n">
        <x:v>7</x:v>
      </x:c>
      <x:c r="I33" s="48" t="n">
        <x:v>5</x:v>
      </x:c>
      <x:c r="J33" s="43" t="n">
        <x:v>2</x:v>
      </x:c>
      <x:c r="K33" s="43" t="n">
        <x:v>4</x:v>
      </x:c>
      <x:c r="L33" s="43" t="str">
        <x:v>18:30</x:v>
      </x:c>
      <x:c r="M33" s="43" t="str">
        <x:v>20:00</x:v>
      </x:c>
      <x:c r="N33" s="43" t="str"/>
      <x:c r="O33" s="43" t="str">
        <x:v>gluten|soy</x:v>
      </x:c>
      <x:c r="P33" s="43" t="str">
        <x:v>https://images.unsplash.com/photo-1542838132-92c53300491e?auto=format&amp;fit=crop&amp;w=1000&amp;q=80</x:v>
      </x:c>
      <x:c r="Q33" s="43" t="str">
        <x:v>available</x:v>
      </x:c>
      <x:c r="R33" s="44" t="b">
        <x:v>0</x:v>
      </x:c>
      <x:c r="S33" s="43" t="n">
        <x:v>1375</x:v>
      </x:c>
      <x:c r="T33" s="43" t="n">
        <x:v>1080</x:v>
      </x:c>
    </x:row>
    <x:row r="34" ht="22" customHeight="1">
      <x:c r="A34" s="43" t="str">
        <x:v>PACK-0033</x:v>
      </x:c>
      <x:c r="B34" s="43" t="str">
        <x:v>EST-007</x:v>
      </x:c>
      <x:c r="C34" s="43" t="str">
        <x:v>Caja verde de aprovechamiento</x:v>
      </x:c>
      <x:c r="D34" s="43" t="str">
        <x:v>Una selección sorpresa preparada con excedentes del día. El contenido puede variar según disponibilidad.</x:v>
      </x:c>
      <x:c r="E34" s="43" t="str">
        <x:v>produce</x:v>
      </x:c>
      <x:c r="F34" s="48" t="n">
        <x:v>1525</x:v>
      </x:c>
      <x:c r="G34" s="48" t="n">
        <x:v>534</x:v>
      </x:c>
      <x:c r="H34" s="48" t="n">
        <x:v>8</x:v>
      </x:c>
      <x:c r="I34" s="48" t="n">
        <x:v>6</x:v>
      </x:c>
      <x:c r="J34" s="43" t="n">
        <x:v>3</x:v>
      </x:c>
      <x:c r="K34" s="43" t="n">
        <x:v>5</x:v>
      </x:c>
      <x:c r="L34" s="43" t="str">
        <x:v>19:00</x:v>
      </x:c>
      <x:c r="M34" s="43" t="str">
        <x:v>21:00</x:v>
      </x:c>
      <x:c r="N34" s="43" t="str">
        <x:v>vegan|vegetarian|gluten_free</x:v>
      </x:c>
      <x:c r="O34" s="43" t="str"/>
      <x:c r="P34" s="43" t="str">
        <x:v>https://images.unsplash.com/photo-1547592180-85f173990554?auto=format&amp;fit=crop&amp;w=1000&amp;q=80</x:v>
      </x:c>
      <x:c r="Q34" s="43" t="str">
        <x:v>available</x:v>
      </x:c>
      <x:c r="R34" s="44" t="b">
        <x:v>0</x:v>
      </x:c>
      <x:c r="S34" s="43" t="n">
        <x:v>500</x:v>
      </x:c>
      <x:c r="T34" s="43" t="n">
        <x:v>1260</x:v>
      </x:c>
    </x:row>
    <x:row r="35" ht="22" customHeight="1">
      <x:c r="A35" s="43" t="str">
        <x:v>PACK-0034</x:v>
      </x:c>
      <x:c r="B35" s="43" t="str">
        <x:v>EST-007</x:v>
      </x:c>
      <x:c r="C35" s="43" t="str">
        <x:v>Desayuno completo</x:v>
      </x:c>
      <x:c r="D35" s="43" t="str">
        <x:v>Una selección sorpresa preparada con excedentes del día. El contenido puede variar según disponibilidad.</x:v>
      </x:c>
      <x:c r="E35" s="43" t="str">
        <x:v>breakfast</x:v>
      </x:c>
      <x:c r="F35" s="48" t="n">
        <x:v>1650</x:v>
      </x:c>
      <x:c r="G35" s="48" t="n">
        <x:v>660</x:v>
      </x:c>
      <x:c r="H35" s="48" t="n">
        <x:v>9</x:v>
      </x:c>
      <x:c r="I35" s="48" t="n">
        <x:v>0</x:v>
      </x:c>
      <x:c r="J35" s="43" t="n">
        <x:v>4</x:v>
      </x:c>
      <x:c r="K35" s="43" t="n">
        <x:v>6</x:v>
      </x:c>
      <x:c r="L35" s="43" t="str">
        <x:v>18:30</x:v>
      </x:c>
      <x:c r="M35" s="43" t="str">
        <x:v>20:00</x:v>
      </x:c>
      <x:c r="N35" s="43" t="str"/>
      <x:c r="O35" s="43" t="str">
        <x:v>gluten|milk</x:v>
      </x:c>
      <x:c r="P35" s="43" t="str">
        <x:v>https://images.unsplash.com/photo-1495474472287-4d71bcdd2085?auto=format&amp;fit=crop&amp;w=1000&amp;q=80</x:v>
      </x:c>
      <x:c r="Q35" s="43" t="str">
        <x:v>sold_out</x:v>
      </x:c>
      <x:c r="R35" s="44" t="b">
        <x:v>0</x:v>
      </x:c>
      <x:c r="S35" s="43" t="n">
        <x:v>625</x:v>
      </x:c>
      <x:c r="T35" s="43" t="n">
        <x:v>1440</x:v>
      </x:c>
    </x:row>
    <x:row r="36" ht="22" customHeight="1">
      <x:c r="A36" s="43" t="str">
        <x:v>PACK-0035</x:v>
      </x:c>
      <x:c r="B36" s="43" t="str">
        <x:v>EST-007</x:v>
      </x:c>
      <x:c r="C36" s="43" t="str">
        <x:v>Sabores veganos del día</x:v>
      </x:c>
      <x:c r="D36" s="43" t="str">
        <x:v>Una selección sorpresa preparada con excedentes del día. El contenido puede variar según disponibilidad.</x:v>
      </x:c>
      <x:c r="E36" s="43" t="str">
        <x:v>vegan</x:v>
      </x:c>
      <x:c r="F36" s="48" t="n">
        <x:v>1775</x:v>
      </x:c>
      <x:c r="G36" s="48" t="n">
        <x:v>799</x:v>
      </x:c>
      <x:c r="H36" s="48" t="n">
        <x:v>10</x:v>
      </x:c>
      <x:c r="I36" s="48" t="n">
        <x:v>8</x:v>
      </x:c>
      <x:c r="J36" s="43" t="n">
        <x:v>5</x:v>
      </x:c>
      <x:c r="K36" s="43" t="n">
        <x:v>7</x:v>
      </x:c>
      <x:c r="L36" s="43" t="str">
        <x:v>19:00</x:v>
      </x:c>
      <x:c r="M36" s="43" t="str">
        <x:v>21:00</x:v>
      </x:c>
      <x:c r="N36" s="43" t="str">
        <x:v>vegan|vegetarian</x:v>
      </x:c>
      <x:c r="O36" s="43" t="str">
        <x:v>nuts|soy</x:v>
      </x:c>
      <x:c r="P36" s="43" t="str">
        <x:v>https://images.unsplash.com/photo-1540420773420-3366772f4999?auto=format&amp;fit=crop&amp;w=1000&amp;q=80</x:v>
      </x:c>
      <x:c r="Q36" s="43" t="str">
        <x:v>cancelled</x:v>
      </x:c>
      <x:c r="R36" s="44" t="b">
        <x:v>0</x:v>
      </x:c>
      <x:c r="S36" s="43" t="n">
        <x:v>750</x:v>
      </x:c>
      <x:c r="T36" s="43" t="n">
        <x:v>1620</x:v>
      </x:c>
    </x:row>
    <x:row r="37" ht="22" customHeight="1">
      <x:c r="A37" s="43" t="str">
        <x:v>PACK-0036</x:v>
      </x:c>
      <x:c r="B37" s="43" t="str">
        <x:v>EST-008</x:v>
      </x:c>
      <x:c r="C37" s="43" t="str">
        <x:v>Lote ahorro del día</x:v>
      </x:c>
      <x:c r="D37" s="43" t="str">
        <x:v>Una selección sorpresa preparada con excedentes del día. El contenido puede variar según disponibilidad.</x:v>
      </x:c>
      <x:c r="E37" s="43" t="str">
        <x:v>mixed</x:v>
      </x:c>
      <x:c r="F37" s="48" t="n">
        <x:v>1900</x:v>
      </x:c>
      <x:c r="G37" s="48" t="n">
        <x:v>950</x:v>
      </x:c>
      <x:c r="H37" s="48" t="n">
        <x:v>4</x:v>
      </x:c>
      <x:c r="I37" s="48" t="n">
        <x:v>2</x:v>
      </x:c>
      <x:c r="J37" s="43" t="n">
        <x:v>6</x:v>
      </x:c>
      <x:c r="K37" s="43" t="n">
        <x:v>8</x:v>
      </x:c>
      <x:c r="L37" s="43" t="str">
        <x:v>19:00</x:v>
      </x:c>
      <x:c r="M37" s="43" t="str">
        <x:v>21:00</x:v>
      </x:c>
      <x:c r="N37" s="43" t="str"/>
      <x:c r="O37" s="43" t="str">
        <x:v>gluten|milk|nuts</x:v>
      </x:c>
      <x:c r="P37" s="43" t="str">
        <x:v>https://images.unsplash.com/photo-1565299624946-b28f40a0ae38?auto=format&amp;fit=crop&amp;w=1000&amp;q=80</x:v>
      </x:c>
      <x:c r="Q37" s="43" t="str">
        <x:v>available</x:v>
      </x:c>
      <x:c r="R37" s="44" t="b">
        <x:v>1</x:v>
      </x:c>
      <x:c r="S37" s="43" t="n">
        <x:v>875</x:v>
      </x:c>
      <x:c r="T37" s="43" t="n">
        <x:v>1800</x:v>
      </x:c>
    </x:row>
    <x:row r="38" ht="22" customHeight="1">
      <x:c r="A38" s="43" t="str">
        <x:v>PACK-0037</x:v>
      </x:c>
      <x:c r="B38" s="43" t="str">
        <x:v>EST-008</x:v>
      </x:c>
      <x:c r="C38" s="43" t="str">
        <x:v>Pack de pan artesano</x:v>
      </x:c>
      <x:c r="D38" s="43" t="str">
        <x:v>Una selección sorpresa preparada con excedentes del día. El contenido puede variar según disponibilidad.</x:v>
      </x:c>
      <x:c r="E38" s="43" t="str">
        <x:v>bakery</x:v>
      </x:c>
      <x:c r="F38" s="48" t="n">
        <x:v>900</x:v>
      </x:c>
      <x:c r="G38" s="48" t="n">
        <x:v>315</x:v>
      </x:c>
      <x:c r="H38" s="48" t="n">
        <x:v>5</x:v>
      </x:c>
      <x:c r="I38" s="48" t="n">
        <x:v>3</x:v>
      </x:c>
      <x:c r="J38" s="43" t="n">
        <x:v>7</x:v>
      </x:c>
      <x:c r="K38" s="43" t="n">
        <x:v>9</x:v>
      </x:c>
      <x:c r="L38" s="43" t="str">
        <x:v>18:30</x:v>
      </x:c>
      <x:c r="M38" s="43" t="str">
        <x:v>20:00</x:v>
      </x:c>
      <x:c r="N38" s="43" t="str"/>
      <x:c r="O38" s="43" t="str">
        <x:v>gluten|milk|egg</x:v>
      </x:c>
      <x:c r="P38" s="43" t="str">
        <x:v>https://images.unsplash.com/photo-1509440159596-0249088772ff?auto=format&amp;fit=crop&amp;w=1000&amp;q=80</x:v>
      </x:c>
      <x:c r="Q38" s="43" t="str">
        <x:v>available</x:v>
      </x:c>
      <x:c r="R38" s="44" t="b">
        <x:v>0</x:v>
      </x:c>
      <x:c r="S38" s="43" t="n">
        <x:v>1000</x:v>
      </x:c>
      <x:c r="T38" s="43" t="n">
        <x:v>1980</x:v>
      </x:c>
    </x:row>
    <x:row r="39" ht="22" customHeight="1">
      <x:c r="A39" s="43" t="str">
        <x:v>PACK-0038</x:v>
      </x:c>
      <x:c r="B39" s="43" t="str">
        <x:v>EST-008</x:v>
      </x:c>
      <x:c r="C39" s="43" t="str">
        <x:v>Platos listos para disfrutar</x:v>
      </x:c>
      <x:c r="D39" s="43" t="str">
        <x:v>Una selección sorpresa preparada con excedentes del día. El contenido puede variar según disponibilidad.</x:v>
      </x:c>
      <x:c r="E39" s="43" t="str">
        <x:v>prepared_food</x:v>
      </x:c>
      <x:c r="F39" s="48" t="n">
        <x:v>1025</x:v>
      </x:c>
      <x:c r="G39" s="48" t="n">
        <x:v>410</x:v>
      </x:c>
      <x:c r="H39" s="48" t="n">
        <x:v>6</x:v>
      </x:c>
      <x:c r="I39" s="48" t="n">
        <x:v>4</x:v>
      </x:c>
      <x:c r="J39" s="43" t="n">
        <x:v>8</x:v>
      </x:c>
      <x:c r="K39" s="43" t="n">
        <x:v>10</x:v>
      </x:c>
      <x:c r="L39" s="43" t="str">
        <x:v>19:00</x:v>
      </x:c>
      <x:c r="M39" s="43" t="str">
        <x:v>21:00</x:v>
      </x:c>
      <x:c r="N39" s="43" t="str"/>
      <x:c r="O39" s="43" t="str">
        <x:v>gluten|soy</x:v>
      </x:c>
      <x:c r="P39" s="43" t="str">
        <x:v>https://images.unsplash.com/photo-1542838132-92c53300491e?auto=format&amp;fit=crop&amp;w=1000&amp;q=80</x:v>
      </x:c>
      <x:c r="Q39" s="43" t="str">
        <x:v>available</x:v>
      </x:c>
      <x:c r="R39" s="44" t="b">
        <x:v>0</x:v>
      </x:c>
      <x:c r="S39" s="43" t="n">
        <x:v>1125</x:v>
      </x:c>
      <x:c r="T39" s="43" t="n">
        <x:v>2160</x:v>
      </x:c>
    </x:row>
    <x:row r="40" ht="22" customHeight="1">
      <x:c r="A40" s="43" t="str">
        <x:v>PACK-0039</x:v>
      </x:c>
      <x:c r="B40" s="43" t="str">
        <x:v>EST-008</x:v>
      </x:c>
      <x:c r="C40" s="43" t="str">
        <x:v>Caja verde de aprovechamiento</x:v>
      </x:c>
      <x:c r="D40" s="43" t="str">
        <x:v>Una selección sorpresa preparada con excedentes del día. El contenido puede variar según disponibilidad.</x:v>
      </x:c>
      <x:c r="E40" s="43" t="str">
        <x:v>produce</x:v>
      </x:c>
      <x:c r="F40" s="48" t="n">
        <x:v>1150</x:v>
      </x:c>
      <x:c r="G40" s="48" t="n">
        <x:v>518</x:v>
      </x:c>
      <x:c r="H40" s="48" t="n">
        <x:v>7</x:v>
      </x:c>
      <x:c r="I40" s="48" t="n">
        <x:v>0</x:v>
      </x:c>
      <x:c r="J40" s="43" t="n">
        <x:v>9</x:v>
      </x:c>
      <x:c r="K40" s="43" t="n">
        <x:v>11</x:v>
      </x:c>
      <x:c r="L40" s="43" t="str">
        <x:v>18:30</x:v>
      </x:c>
      <x:c r="M40" s="43" t="str">
        <x:v>20:00</x:v>
      </x:c>
      <x:c r="N40" s="43" t="str">
        <x:v>vegan|vegetarian|gluten_free</x:v>
      </x:c>
      <x:c r="O40" s="43" t="str"/>
      <x:c r="P40" s="43" t="str">
        <x:v>https://images.unsplash.com/photo-1547592180-85f173990554?auto=format&amp;fit=crop&amp;w=1000&amp;q=80</x:v>
      </x:c>
      <x:c r="Q40" s="43" t="str">
        <x:v>sold_out</x:v>
      </x:c>
      <x:c r="R40" s="44" t="b">
        <x:v>0</x:v>
      </x:c>
      <x:c r="S40" s="43" t="n">
        <x:v>1250</x:v>
      </x:c>
      <x:c r="T40" s="43" t="n">
        <x:v>2340</x:v>
      </x:c>
    </x:row>
    <x:row r="41" ht="22" customHeight="1">
      <x:c r="A41" s="43" t="str">
        <x:v>PACK-0040</x:v>
      </x:c>
      <x:c r="B41" s="43" t="str">
        <x:v>EST-008</x:v>
      </x:c>
      <x:c r="C41" s="43" t="str">
        <x:v>Desayuno completo</x:v>
      </x:c>
      <x:c r="D41" s="43" t="str">
        <x:v>Una selección sorpresa preparada con excedentes del día. El contenido puede variar según disponibilidad.</x:v>
      </x:c>
      <x:c r="E41" s="43" t="str">
        <x:v>breakfast</x:v>
      </x:c>
      <x:c r="F41" s="48" t="n">
        <x:v>1275</x:v>
      </x:c>
      <x:c r="G41" s="48" t="n">
        <x:v>638</x:v>
      </x:c>
      <x:c r="H41" s="48" t="n">
        <x:v>8</x:v>
      </x:c>
      <x:c r="I41" s="48" t="n">
        <x:v>6</x:v>
      </x:c>
      <x:c r="J41" s="43" t="n">
        <x:v>10</x:v>
      </x:c>
      <x:c r="K41" s="43" t="n">
        <x:v>12</x:v>
      </x:c>
      <x:c r="L41" s="43" t="str">
        <x:v>19:00</x:v>
      </x:c>
      <x:c r="M41" s="43" t="str">
        <x:v>21:00</x:v>
      </x:c>
      <x:c r="N41" s="43" t="str"/>
      <x:c r="O41" s="43" t="str">
        <x:v>gluten|milk</x:v>
      </x:c>
      <x:c r="P41" s="43" t="str">
        <x:v>https://images.unsplash.com/photo-1495474472287-4d71bcdd2085?auto=format&amp;fit=crop&amp;w=1000&amp;q=80</x:v>
      </x:c>
      <x:c r="Q41" s="43" t="str">
        <x:v>cancelled</x:v>
      </x:c>
      <x:c r="R41" s="44" t="b">
        <x:v>0</x:v>
      </x:c>
      <x:c r="S41" s="43" t="n">
        <x:v>1375</x:v>
      </x:c>
      <x:c r="T41" s="43" t="n">
        <x:v>2520</x:v>
      </x:c>
    </x:row>
    <x:row r="42" ht="22" customHeight="1">
      <x:c r="A42" s="43" t="str">
        <x:v>PACK-0041</x:v>
      </x:c>
      <x:c r="B42" s="43" t="str">
        <x:v>EST-009</x:v>
      </x:c>
      <x:c r="C42" s="43" t="str">
        <x:v>Sabores veganos del día</x:v>
      </x:c>
      <x:c r="D42" s="43" t="str">
        <x:v>Una selección sorpresa preparada con excedentes del día. El contenido puede variar según disponibilidad.</x:v>
      </x:c>
      <x:c r="E42" s="43" t="str">
        <x:v>vegan</x:v>
      </x:c>
      <x:c r="F42" s="48" t="n">
        <x:v>1400</x:v>
      </x:c>
      <x:c r="G42" s="48" t="n">
        <x:v>490</x:v>
      </x:c>
      <x:c r="H42" s="48" t="n">
        <x:v>9</x:v>
      </x:c>
      <x:c r="I42" s="48" t="n">
        <x:v>8</x:v>
      </x:c>
      <x:c r="J42" s="43" t="n">
        <x:v>11</x:v>
      </x:c>
      <x:c r="K42" s="43" t="n">
        <x:v>13</x:v>
      </x:c>
      <x:c r="L42" s="43" t="str">
        <x:v>19:00</x:v>
      </x:c>
      <x:c r="M42" s="43" t="str">
        <x:v>21:00</x:v>
      </x:c>
      <x:c r="N42" s="43" t="str">
        <x:v>vegan|vegetarian</x:v>
      </x:c>
      <x:c r="O42" s="43" t="str">
        <x:v>nuts|soy</x:v>
      </x:c>
      <x:c r="P42" s="43" t="str">
        <x:v>https://images.unsplash.com/photo-1540420773420-3366772f4999?auto=format&amp;fit=crop&amp;w=1000&amp;q=80</x:v>
      </x:c>
      <x:c r="Q42" s="43" t="str">
        <x:v>available</x:v>
      </x:c>
      <x:c r="R42" s="44" t="b">
        <x:v>0</x:v>
      </x:c>
      <x:c r="S42" s="43" t="n">
        <x:v>500</x:v>
      </x:c>
      <x:c r="T42" s="43" t="n">
        <x:v>900</x:v>
      </x:c>
    </x:row>
    <x:row r="43" ht="22" customHeight="1">
      <x:c r="A43" s="43" t="str">
        <x:v>PACK-0042</x:v>
      </x:c>
      <x:c r="B43" s="43" t="str">
        <x:v>EST-009</x:v>
      </x:c>
      <x:c r="C43" s="43" t="str">
        <x:v>Lote ahorro del día</x:v>
      </x:c>
      <x:c r="D43" s="43" t="str">
        <x:v>Una selección sorpresa preparada con excedentes del día. El contenido puede variar según disponibilidad.</x:v>
      </x:c>
      <x:c r="E43" s="43" t="str">
        <x:v>mixed</x:v>
      </x:c>
      <x:c r="F43" s="48" t="n">
        <x:v>1525</x:v>
      </x:c>
      <x:c r="G43" s="48" t="n">
        <x:v>610</x:v>
      </x:c>
      <x:c r="H43" s="48" t="n">
        <x:v>10</x:v>
      </x:c>
      <x:c r="I43" s="48" t="n">
        <x:v>9</x:v>
      </x:c>
      <x:c r="J43" s="43" t="n">
        <x:v>12</x:v>
      </x:c>
      <x:c r="K43" s="43" t="n">
        <x:v>14</x:v>
      </x:c>
      <x:c r="L43" s="43" t="str">
        <x:v>18:30</x:v>
      </x:c>
      <x:c r="M43" s="43" t="str">
        <x:v>20:00</x:v>
      </x:c>
      <x:c r="N43" s="43" t="str"/>
      <x:c r="O43" s="43" t="str">
        <x:v>gluten|milk|nuts</x:v>
      </x:c>
      <x:c r="P43" s="43" t="str">
        <x:v>https://images.unsplash.com/photo-1565299624946-b28f40a0ae38?auto=format&amp;fit=crop&amp;w=1000&amp;q=80</x:v>
      </x:c>
      <x:c r="Q43" s="43" t="str">
        <x:v>available</x:v>
      </x:c>
      <x:c r="R43" s="44" t="b">
        <x:v>0</x:v>
      </x:c>
      <x:c r="S43" s="43" t="n">
        <x:v>625</x:v>
      </x:c>
      <x:c r="T43" s="43" t="n">
        <x:v>1080</x:v>
      </x:c>
    </x:row>
    <x:row r="44" ht="22" customHeight="1">
      <x:c r="A44" s="43" t="str">
        <x:v>PACK-0043</x:v>
      </x:c>
      <x:c r="B44" s="43" t="str">
        <x:v>EST-009</x:v>
      </x:c>
      <x:c r="C44" s="43" t="str">
        <x:v>Pack de pan artesano</x:v>
      </x:c>
      <x:c r="D44" s="43" t="str">
        <x:v>Una selección sorpresa preparada con excedentes del día. El contenido puede variar según disponibilidad.</x:v>
      </x:c>
      <x:c r="E44" s="43" t="str">
        <x:v>bakery</x:v>
      </x:c>
      <x:c r="F44" s="48" t="n">
        <x:v>1650</x:v>
      </x:c>
      <x:c r="G44" s="48" t="n">
        <x:v>742</x:v>
      </x:c>
      <x:c r="H44" s="48" t="n">
        <x:v>4</x:v>
      </x:c>
      <x:c r="I44" s="48" t="n">
        <x:v>3</x:v>
      </x:c>
      <x:c r="J44" s="43" t="n">
        <x:v>-1</x:v>
      </x:c>
      <x:c r="K44" s="43" t="n">
        <x:v>1</x:v>
      </x:c>
      <x:c r="L44" s="43" t="str">
        <x:v>19:00</x:v>
      </x:c>
      <x:c r="M44" s="43" t="str">
        <x:v>21:00</x:v>
      </x:c>
      <x:c r="N44" s="43" t="str"/>
      <x:c r="O44" s="43" t="str">
        <x:v>gluten|milk|egg</x:v>
      </x:c>
      <x:c r="P44" s="43" t="str">
        <x:v>https://images.unsplash.com/photo-1509440159596-0249088772ff?auto=format&amp;fit=crop&amp;w=1000&amp;q=80</x:v>
      </x:c>
      <x:c r="Q44" s="43" t="str">
        <x:v>available</x:v>
      </x:c>
      <x:c r="R44" s="44" t="b">
        <x:v>1</x:v>
      </x:c>
      <x:c r="S44" s="43" t="n">
        <x:v>750</x:v>
      </x:c>
      <x:c r="T44" s="43" t="n">
        <x:v>1260</x:v>
      </x:c>
    </x:row>
    <x:row r="45" ht="22" customHeight="1">
      <x:c r="A45" s="43" t="str">
        <x:v>PACK-0044</x:v>
      </x:c>
      <x:c r="B45" s="43" t="str">
        <x:v>EST-009</x:v>
      </x:c>
      <x:c r="C45" s="43" t="str">
        <x:v>Platos listos para disfrutar</x:v>
      </x:c>
      <x:c r="D45" s="43" t="str">
        <x:v>Una selección sorpresa preparada con excedentes del día. El contenido puede variar según disponibilidad.</x:v>
      </x:c>
      <x:c r="E45" s="43" t="str">
        <x:v>prepared_food</x:v>
      </x:c>
      <x:c r="F45" s="48" t="n">
        <x:v>1775</x:v>
      </x:c>
      <x:c r="G45" s="48" t="n">
        <x:v>888</x:v>
      </x:c>
      <x:c r="H45" s="48" t="n">
        <x:v>5</x:v>
      </x:c>
      <x:c r="I45" s="48" t="n">
        <x:v>0</x:v>
      </x:c>
      <x:c r="J45" s="43" t="n">
        <x:v>0</x:v>
      </x:c>
      <x:c r="K45" s="43" t="n">
        <x:v>2</x:v>
      </x:c>
      <x:c r="L45" s="43" t="str">
        <x:v>18:30</x:v>
      </x:c>
      <x:c r="M45" s="43" t="str">
        <x:v>20:00</x:v>
      </x:c>
      <x:c r="N45" s="43" t="str"/>
      <x:c r="O45" s="43" t="str">
        <x:v>gluten|soy</x:v>
      </x:c>
      <x:c r="P45" s="43" t="str">
        <x:v>https://images.unsplash.com/photo-1542838132-92c53300491e?auto=format&amp;fit=crop&amp;w=1000&amp;q=80</x:v>
      </x:c>
      <x:c r="Q45" s="43" t="str">
        <x:v>sold_out</x:v>
      </x:c>
      <x:c r="R45" s="44" t="b">
        <x:v>0</x:v>
      </x:c>
      <x:c r="S45" s="43" t="n">
        <x:v>875</x:v>
      </x:c>
      <x:c r="T45" s="43" t="n">
        <x:v>1440</x:v>
      </x:c>
    </x:row>
    <x:row r="46" ht="22" customHeight="1">
      <x:c r="A46" s="43" t="str">
        <x:v>PACK-0045</x:v>
      </x:c>
      <x:c r="B46" s="43" t="str">
        <x:v>EST-009</x:v>
      </x:c>
      <x:c r="C46" s="43" t="str">
        <x:v>Caja verde de aprovechamiento</x:v>
      </x:c>
      <x:c r="D46" s="43" t="str">
        <x:v>Una selección sorpresa preparada con excedentes del día. El contenido puede variar según disponibilidad.</x:v>
      </x:c>
      <x:c r="E46" s="43" t="str">
        <x:v>produce</x:v>
      </x:c>
      <x:c r="F46" s="48" t="n">
        <x:v>1900</x:v>
      </x:c>
      <x:c r="G46" s="48" t="n">
        <x:v>665</x:v>
      </x:c>
      <x:c r="H46" s="48" t="n">
        <x:v>6</x:v>
      </x:c>
      <x:c r="I46" s="48" t="n">
        <x:v>5</x:v>
      </x:c>
      <x:c r="J46" s="43" t="n">
        <x:v>1</x:v>
      </x:c>
      <x:c r="K46" s="43" t="n">
        <x:v>3</x:v>
      </x:c>
      <x:c r="L46" s="43" t="str">
        <x:v>19:00</x:v>
      </x:c>
      <x:c r="M46" s="43" t="str">
        <x:v>21:00</x:v>
      </x:c>
      <x:c r="N46" s="43" t="str">
        <x:v>vegan|vegetarian|gluten_free</x:v>
      </x:c>
      <x:c r="O46" s="43" t="str"/>
      <x:c r="P46" s="43" t="str">
        <x:v>https://images.unsplash.com/photo-1547592180-85f173990554?auto=format&amp;fit=crop&amp;w=1000&amp;q=80</x:v>
      </x:c>
      <x:c r="Q46" s="43" t="str">
        <x:v>cancelled</x:v>
      </x:c>
      <x:c r="R46" s="44" t="b">
        <x:v>0</x:v>
      </x:c>
      <x:c r="S46" s="43" t="n">
        <x:v>1000</x:v>
      </x:c>
      <x:c r="T46" s="43" t="n">
        <x:v>1620</x:v>
      </x:c>
    </x:row>
    <x:row r="47" ht="22" customHeight="1">
      <x:c r="A47" s="43" t="str">
        <x:v>PACK-0046</x:v>
      </x:c>
      <x:c r="B47" s="43" t="str">
        <x:v>EST-010</x:v>
      </x:c>
      <x:c r="C47" s="43" t="str">
        <x:v>Desayuno completo</x:v>
      </x:c>
      <x:c r="D47" s="43" t="str">
        <x:v>Una selección sorpresa preparada con excedentes del día. El contenido puede variar según disponibilidad.</x:v>
      </x:c>
      <x:c r="E47" s="43" t="str">
        <x:v>breakfast</x:v>
      </x:c>
      <x:c r="F47" s="48" t="n">
        <x:v>900</x:v>
      </x:c>
      <x:c r="G47" s="48" t="n">
        <x:v>360</x:v>
      </x:c>
      <x:c r="H47" s="48" t="n">
        <x:v>7</x:v>
      </x:c>
      <x:c r="I47" s="48" t="n">
        <x:v>6</x:v>
      </x:c>
      <x:c r="J47" s="43" t="n">
        <x:v>2</x:v>
      </x:c>
      <x:c r="K47" s="43" t="n">
        <x:v>4</x:v>
      </x:c>
      <x:c r="L47" s="43" t="str">
        <x:v>19:00</x:v>
      </x:c>
      <x:c r="M47" s="43" t="str">
        <x:v>21:00</x:v>
      </x:c>
      <x:c r="N47" s="43" t="str"/>
      <x:c r="O47" s="43" t="str">
        <x:v>gluten|milk</x:v>
      </x:c>
      <x:c r="P47" s="43" t="str">
        <x:v>https://images.unsplash.com/photo-1495474472287-4d71bcdd2085?auto=format&amp;fit=crop&amp;w=1000&amp;q=80</x:v>
      </x:c>
      <x:c r="Q47" s="43" t="str">
        <x:v>available</x:v>
      </x:c>
      <x:c r="R47" s="44" t="b">
        <x:v>0</x:v>
      </x:c>
      <x:c r="S47" s="43" t="n">
        <x:v>1125</x:v>
      </x:c>
      <x:c r="T47" s="43" t="n">
        <x:v>1800</x:v>
      </x:c>
    </x:row>
    <x:row r="48" ht="22" customHeight="1">
      <x:c r="A48" s="43" t="str">
        <x:v>PACK-0047</x:v>
      </x:c>
      <x:c r="B48" s="43" t="str">
        <x:v>EST-010</x:v>
      </x:c>
      <x:c r="C48" s="43" t="str">
        <x:v>Sabores veganos del día</x:v>
      </x:c>
      <x:c r="D48" s="43" t="str">
        <x:v>Una selección sorpresa preparada con excedentes del día. El contenido puede variar según disponibilidad.</x:v>
      </x:c>
      <x:c r="E48" s="43" t="str">
        <x:v>vegan</x:v>
      </x:c>
      <x:c r="F48" s="48" t="n">
        <x:v>1025</x:v>
      </x:c>
      <x:c r="G48" s="48" t="n">
        <x:v>461</x:v>
      </x:c>
      <x:c r="H48" s="48" t="n">
        <x:v>8</x:v>
      </x:c>
      <x:c r="I48" s="48" t="n">
        <x:v>7</x:v>
      </x:c>
      <x:c r="J48" s="43" t="n">
        <x:v>3</x:v>
      </x:c>
      <x:c r="K48" s="43" t="n">
        <x:v>5</x:v>
      </x:c>
      <x:c r="L48" s="43" t="str">
        <x:v>18:30</x:v>
      </x:c>
      <x:c r="M48" s="43" t="str">
        <x:v>20:00</x:v>
      </x:c>
      <x:c r="N48" s="43" t="str">
        <x:v>vegan|vegetarian</x:v>
      </x:c>
      <x:c r="O48" s="43" t="str">
        <x:v>nuts|soy</x:v>
      </x:c>
      <x:c r="P48" s="43" t="str">
        <x:v>https://images.unsplash.com/photo-1540420773420-3366772f4999?auto=format&amp;fit=crop&amp;w=1000&amp;q=80</x:v>
      </x:c>
      <x:c r="Q48" s="43" t="str">
        <x:v>available</x:v>
      </x:c>
      <x:c r="R48" s="44" t="b">
        <x:v>0</x:v>
      </x:c>
      <x:c r="S48" s="43" t="n">
        <x:v>1250</x:v>
      </x:c>
      <x:c r="T48" s="43" t="n">
        <x:v>1980</x:v>
      </x:c>
    </x:row>
    <x:row r="49" ht="22" customHeight="1">
      <x:c r="A49" s="43" t="str">
        <x:v>PACK-0048</x:v>
      </x:c>
      <x:c r="B49" s="43" t="str">
        <x:v>EST-010</x:v>
      </x:c>
      <x:c r="C49" s="43" t="str">
        <x:v>Lote ahorro del día</x:v>
      </x:c>
      <x:c r="D49" s="43" t="str">
        <x:v>Una selección sorpresa preparada con excedentes del día. El contenido puede variar según disponibilidad.</x:v>
      </x:c>
      <x:c r="E49" s="43" t="str">
        <x:v>mixed</x:v>
      </x:c>
      <x:c r="F49" s="48" t="n">
        <x:v>1150</x:v>
      </x:c>
      <x:c r="G49" s="48" t="n">
        <x:v>575</x:v>
      </x:c>
      <x:c r="H49" s="48" t="n">
        <x:v>9</x:v>
      </x:c>
      <x:c r="I49" s="48" t="n">
        <x:v>8</x:v>
      </x:c>
      <x:c r="J49" s="43" t="n">
        <x:v>4</x:v>
      </x:c>
      <x:c r="K49" s="43" t="n">
        <x:v>6</x:v>
      </x:c>
      <x:c r="L49" s="43" t="str">
        <x:v>19:00</x:v>
      </x:c>
      <x:c r="M49" s="43" t="str">
        <x:v>21:00</x:v>
      </x:c>
      <x:c r="N49" s="43" t="str"/>
      <x:c r="O49" s="43" t="str">
        <x:v>gluten|milk|nuts</x:v>
      </x:c>
      <x:c r="P49" s="43" t="str">
        <x:v>https://images.unsplash.com/photo-1565299624946-b28f40a0ae38?auto=format&amp;fit=crop&amp;w=1000&amp;q=80</x:v>
      </x:c>
      <x:c r="Q49" s="43" t="str">
        <x:v>available</x:v>
      </x:c>
      <x:c r="R49" s="44" t="b">
        <x:v>0</x:v>
      </x:c>
      <x:c r="S49" s="43" t="n">
        <x:v>1375</x:v>
      </x:c>
      <x:c r="T49" s="43" t="n">
        <x:v>2160</x:v>
      </x:c>
    </x:row>
    <x:row r="50" ht="22" customHeight="1">
      <x:c r="A50" s="43" t="str">
        <x:v>PACK-0049</x:v>
      </x:c>
      <x:c r="B50" s="43" t="str">
        <x:v>EST-010</x:v>
      </x:c>
      <x:c r="C50" s="43" t="str">
        <x:v>Pack de pan artesano</x:v>
      </x:c>
      <x:c r="D50" s="43" t="str">
        <x:v>Una selección sorpresa preparada con excedentes del día. El contenido puede variar según disponibilidad.</x:v>
      </x:c>
      <x:c r="E50" s="43" t="str">
        <x:v>bakery</x:v>
      </x:c>
      <x:c r="F50" s="48" t="n">
        <x:v>1275</x:v>
      </x:c>
      <x:c r="G50" s="48" t="n">
        <x:v>446</x:v>
      </x:c>
      <x:c r="H50" s="48" t="n">
        <x:v>10</x:v>
      </x:c>
      <x:c r="I50" s="48" t="n">
        <x:v>0</x:v>
      </x:c>
      <x:c r="J50" s="43" t="n">
        <x:v>5</x:v>
      </x:c>
      <x:c r="K50" s="43" t="n">
        <x:v>7</x:v>
      </x:c>
      <x:c r="L50" s="43" t="str">
        <x:v>18:30</x:v>
      </x:c>
      <x:c r="M50" s="43" t="str">
        <x:v>20:00</x:v>
      </x:c>
      <x:c r="N50" s="43" t="str"/>
      <x:c r="O50" s="43" t="str">
        <x:v>gluten|milk|egg</x:v>
      </x:c>
      <x:c r="P50" s="43" t="str">
        <x:v>https://images.unsplash.com/photo-1509440159596-0249088772ff?auto=format&amp;fit=crop&amp;w=1000&amp;q=80</x:v>
      </x:c>
      <x:c r="Q50" s="43" t="str">
        <x:v>sold_out</x:v>
      </x:c>
      <x:c r="R50" s="44" t="b">
        <x:v>0</x:v>
      </x:c>
      <x:c r="S50" s="43" t="n">
        <x:v>500</x:v>
      </x:c>
      <x:c r="T50" s="43" t="n">
        <x:v>2340</x:v>
      </x:c>
    </x:row>
    <x:row r="51" ht="22" customHeight="1">
      <x:c r="A51" s="43" t="str">
        <x:v>PACK-0050</x:v>
      </x:c>
      <x:c r="B51" s="43" t="str">
        <x:v>EST-010</x:v>
      </x:c>
      <x:c r="C51" s="43" t="str">
        <x:v>Platos listos para disfrutar</x:v>
      </x:c>
      <x:c r="D51" s="43" t="str">
        <x:v>Una selección sorpresa preparada con excedentes del día. El contenido puede variar según disponibilidad.</x:v>
      </x:c>
      <x:c r="E51" s="43" t="str">
        <x:v>prepared_food</x:v>
      </x:c>
      <x:c r="F51" s="48" t="n">
        <x:v>1400</x:v>
      </x:c>
      <x:c r="G51" s="48" t="n">
        <x:v>560</x:v>
      </x:c>
      <x:c r="H51" s="48" t="n">
        <x:v>4</x:v>
      </x:c>
      <x:c r="I51" s="48" t="n">
        <x:v>3</x:v>
      </x:c>
      <x:c r="J51" s="43" t="n">
        <x:v>6</x:v>
      </x:c>
      <x:c r="K51" s="43" t="n">
        <x:v>8</x:v>
      </x:c>
      <x:c r="L51" s="43" t="str">
        <x:v>19:00</x:v>
      </x:c>
      <x:c r="M51" s="43" t="str">
        <x:v>21:00</x:v>
      </x:c>
      <x:c r="N51" s="43" t="str"/>
      <x:c r="O51" s="43" t="str">
        <x:v>gluten|soy</x:v>
      </x:c>
      <x:c r="P51" s="43" t="str">
        <x:v>https://images.unsplash.com/photo-1542838132-92c53300491e?auto=format&amp;fit=crop&amp;w=1000&amp;q=80</x:v>
      </x:c>
      <x:c r="Q51" s="43" t="str">
        <x:v>cancelled</x:v>
      </x:c>
      <x:c r="R51" s="44" t="b">
        <x:v>0</x:v>
      </x:c>
      <x:c r="S51" s="43" t="n">
        <x:v>625</x:v>
      </x:c>
      <x:c r="T51" s="43" t="n">
        <x:v>2520</x:v>
      </x:c>
    </x:row>
    <x:row r="52" ht="22" customHeight="1">
      <x:c r="A52" s="43" t="str">
        <x:v>PACK-0051</x:v>
      </x:c>
      <x:c r="B52" s="43" t="str">
        <x:v>EST-011</x:v>
      </x:c>
      <x:c r="C52" s="43" t="str">
        <x:v>Caja verde de aprovechamiento</x:v>
      </x:c>
      <x:c r="D52" s="43" t="str">
        <x:v>Una selección sorpresa preparada con excedentes del día. El contenido puede variar según disponibilidad.</x:v>
      </x:c>
      <x:c r="E52" s="43" t="str">
        <x:v>produce</x:v>
      </x:c>
      <x:c r="F52" s="48" t="n">
        <x:v>1525</x:v>
      </x:c>
      <x:c r="G52" s="48" t="n">
        <x:v>686</x:v>
      </x:c>
      <x:c r="H52" s="48" t="n">
        <x:v>5</x:v>
      </x:c>
      <x:c r="I52" s="48" t="n">
        <x:v>4</x:v>
      </x:c>
      <x:c r="J52" s="43" t="n">
        <x:v>7</x:v>
      </x:c>
      <x:c r="K52" s="43" t="n">
        <x:v>9</x:v>
      </x:c>
      <x:c r="L52" s="43" t="str">
        <x:v>19:00</x:v>
      </x:c>
      <x:c r="M52" s="43" t="str">
        <x:v>21:00</x:v>
      </x:c>
      <x:c r="N52" s="43" t="str">
        <x:v>vegan|vegetarian|gluten_free</x:v>
      </x:c>
      <x:c r="O52" s="43" t="str"/>
      <x:c r="P52" s="43" t="str">
        <x:v>https://images.unsplash.com/photo-1547592180-85f173990554?auto=format&amp;fit=crop&amp;w=1000&amp;q=80</x:v>
      </x:c>
      <x:c r="Q52" s="43" t="str">
        <x:v>available</x:v>
      </x:c>
      <x:c r="R52" s="44" t="b">
        <x:v>0</x:v>
      </x:c>
      <x:c r="S52" s="43" t="n">
        <x:v>750</x:v>
      </x:c>
      <x:c r="T52" s="43" t="n">
        <x:v>900</x:v>
      </x:c>
    </x:row>
    <x:row r="53" ht="22" customHeight="1">
      <x:c r="A53" s="43" t="str">
        <x:v>PACK-0052</x:v>
      </x:c>
      <x:c r="B53" s="43" t="str">
        <x:v>EST-011</x:v>
      </x:c>
      <x:c r="C53" s="43" t="str">
        <x:v>Desayuno completo</x:v>
      </x:c>
      <x:c r="D53" s="43" t="str">
        <x:v>Una selección sorpresa preparada con excedentes del día. El contenido puede variar según disponibilidad.</x:v>
      </x:c>
      <x:c r="E53" s="43" t="str">
        <x:v>breakfast</x:v>
      </x:c>
      <x:c r="F53" s="48" t="n">
        <x:v>1650</x:v>
      </x:c>
      <x:c r="G53" s="48" t="n">
        <x:v>825</x:v>
      </x:c>
      <x:c r="H53" s="48" t="n">
        <x:v>6</x:v>
      </x:c>
      <x:c r="I53" s="48" t="n">
        <x:v>5</x:v>
      </x:c>
      <x:c r="J53" s="43" t="n">
        <x:v>8</x:v>
      </x:c>
      <x:c r="K53" s="43" t="n">
        <x:v>10</x:v>
      </x:c>
      <x:c r="L53" s="43" t="str">
        <x:v>18:30</x:v>
      </x:c>
      <x:c r="M53" s="43" t="str">
        <x:v>20:00</x:v>
      </x:c>
      <x:c r="N53" s="43" t="str"/>
      <x:c r="O53" s="43" t="str">
        <x:v>gluten|milk</x:v>
      </x:c>
      <x:c r="P53" s="43" t="str">
        <x:v>https://images.unsplash.com/photo-1495474472287-4d71bcdd2085?auto=format&amp;fit=crop&amp;w=1000&amp;q=80</x:v>
      </x:c>
      <x:c r="Q53" s="43" t="str">
        <x:v>available</x:v>
      </x:c>
      <x:c r="R53" s="44" t="b">
        <x:v>0</x:v>
      </x:c>
      <x:c r="S53" s="43" t="n">
        <x:v>875</x:v>
      </x:c>
      <x:c r="T53" s="43" t="n">
        <x:v>1080</x:v>
      </x:c>
    </x:row>
    <x:row r="54" ht="22" customHeight="1">
      <x:c r="A54" s="43" t="str">
        <x:v>PACK-0053</x:v>
      </x:c>
      <x:c r="B54" s="43" t="str">
        <x:v>EST-011</x:v>
      </x:c>
      <x:c r="C54" s="43" t="str">
        <x:v>Sabores veganos del día</x:v>
      </x:c>
      <x:c r="D54" s="43" t="str">
        <x:v>Una selección sorpresa preparada con excedentes del día. El contenido puede variar según disponibilidad.</x:v>
      </x:c>
      <x:c r="E54" s="43" t="str">
        <x:v>vegan</x:v>
      </x:c>
      <x:c r="F54" s="48" t="n">
        <x:v>1775</x:v>
      </x:c>
      <x:c r="G54" s="48" t="n">
        <x:v>621</x:v>
      </x:c>
      <x:c r="H54" s="48" t="n">
        <x:v>7</x:v>
      </x:c>
      <x:c r="I54" s="48" t="n">
        <x:v>6</x:v>
      </x:c>
      <x:c r="J54" s="43" t="n">
        <x:v>9</x:v>
      </x:c>
      <x:c r="K54" s="43" t="n">
        <x:v>11</x:v>
      </x:c>
      <x:c r="L54" s="43" t="str">
        <x:v>19:00</x:v>
      </x:c>
      <x:c r="M54" s="43" t="str">
        <x:v>21:00</x:v>
      </x:c>
      <x:c r="N54" s="43" t="str">
        <x:v>vegan|vegetarian</x:v>
      </x:c>
      <x:c r="O54" s="43" t="str">
        <x:v>nuts|soy</x:v>
      </x:c>
      <x:c r="P54" s="43" t="str">
        <x:v>https://images.unsplash.com/photo-1540420773420-3366772f4999?auto=format&amp;fit=crop&amp;w=1000&amp;q=80</x:v>
      </x:c>
      <x:c r="Q54" s="43" t="str">
        <x:v>available</x:v>
      </x:c>
      <x:c r="R54" s="44" t="b">
        <x:v>0</x:v>
      </x:c>
      <x:c r="S54" s="43" t="n">
        <x:v>1000</x:v>
      </x:c>
      <x:c r="T54" s="43" t="n">
        <x:v>1260</x:v>
      </x:c>
    </x:row>
    <x:row r="55" ht="22" customHeight="1">
      <x:c r="A55" s="43" t="str">
        <x:v>PACK-0054</x:v>
      </x:c>
      <x:c r="B55" s="43" t="str">
        <x:v>EST-011</x:v>
      </x:c>
      <x:c r="C55" s="43" t="str">
        <x:v>Lote ahorro del día</x:v>
      </x:c>
      <x:c r="D55" s="43" t="str">
        <x:v>Una selección sorpresa preparada con excedentes del día. El contenido puede variar según disponibilidad.</x:v>
      </x:c>
      <x:c r="E55" s="43" t="str">
        <x:v>mixed</x:v>
      </x:c>
      <x:c r="F55" s="48" t="n">
        <x:v>1900</x:v>
      </x:c>
      <x:c r="G55" s="48" t="n">
        <x:v>760</x:v>
      </x:c>
      <x:c r="H55" s="48" t="n">
        <x:v>8</x:v>
      </x:c>
      <x:c r="I55" s="48" t="n">
        <x:v>0</x:v>
      </x:c>
      <x:c r="J55" s="43" t="n">
        <x:v>10</x:v>
      </x:c>
      <x:c r="K55" s="43" t="n">
        <x:v>12</x:v>
      </x:c>
      <x:c r="L55" s="43" t="str">
        <x:v>18:30</x:v>
      </x:c>
      <x:c r="M55" s="43" t="str">
        <x:v>20:00</x:v>
      </x:c>
      <x:c r="N55" s="43" t="str"/>
      <x:c r="O55" s="43" t="str">
        <x:v>gluten|milk|nuts</x:v>
      </x:c>
      <x:c r="P55" s="43" t="str">
        <x:v>https://images.unsplash.com/photo-1565299624946-b28f40a0ae38?auto=format&amp;fit=crop&amp;w=1000&amp;q=80</x:v>
      </x:c>
      <x:c r="Q55" s="43" t="str">
        <x:v>sold_out</x:v>
      </x:c>
      <x:c r="R55" s="44" t="b">
        <x:v>0</x:v>
      </x:c>
      <x:c r="S55" s="43" t="n">
        <x:v>1125</x:v>
      </x:c>
      <x:c r="T55" s="43" t="n">
        <x:v>1440</x:v>
      </x:c>
    </x:row>
    <x:row r="56" ht="22" customHeight="1">
      <x:c r="A56" s="43" t="str">
        <x:v>PACK-0055</x:v>
      </x:c>
      <x:c r="B56" s="43" t="str">
        <x:v>EST-011</x:v>
      </x:c>
      <x:c r="C56" s="43" t="str">
        <x:v>Pack de pan artesano</x:v>
      </x:c>
      <x:c r="D56" s="43" t="str">
        <x:v>Una selección sorpresa preparada con excedentes del día. El contenido puede variar según disponibilidad.</x:v>
      </x:c>
      <x:c r="E56" s="43" t="str">
        <x:v>bakery</x:v>
      </x:c>
      <x:c r="F56" s="48" t="n">
        <x:v>900</x:v>
      </x:c>
      <x:c r="G56" s="48" t="n">
        <x:v>405</x:v>
      </x:c>
      <x:c r="H56" s="48" t="n">
        <x:v>9</x:v>
      </x:c>
      <x:c r="I56" s="48" t="n">
        <x:v>8</x:v>
      </x:c>
      <x:c r="J56" s="43" t="n">
        <x:v>11</x:v>
      </x:c>
      <x:c r="K56" s="43" t="n">
        <x:v>13</x:v>
      </x:c>
      <x:c r="L56" s="43" t="str">
        <x:v>19:00</x:v>
      </x:c>
      <x:c r="M56" s="43" t="str">
        <x:v>21:00</x:v>
      </x:c>
      <x:c r="N56" s="43" t="str"/>
      <x:c r="O56" s="43" t="str">
        <x:v>gluten|milk|egg</x:v>
      </x:c>
      <x:c r="P56" s="43" t="str">
        <x:v>https://images.unsplash.com/photo-1509440159596-0249088772ff?auto=format&amp;fit=crop&amp;w=1000&amp;q=80</x:v>
      </x:c>
      <x:c r="Q56" s="43" t="str">
        <x:v>cancelled</x:v>
      </x:c>
      <x:c r="R56" s="44" t="b">
        <x:v>0</x:v>
      </x:c>
      <x:c r="S56" s="43" t="n">
        <x:v>1250</x:v>
      </x:c>
      <x:c r="T56" s="43" t="n">
        <x:v>1620</x:v>
      </x:c>
    </x:row>
    <x:row r="57" ht="22" customHeight="1">
      <x:c r="A57" s="43" t="str">
        <x:v>PACK-0056</x:v>
      </x:c>
      <x:c r="B57" s="43" t="str">
        <x:v>EST-012</x:v>
      </x:c>
      <x:c r="C57" s="43" t="str">
        <x:v>Platos listos para disfrutar</x:v>
      </x:c>
      <x:c r="D57" s="43" t="str">
        <x:v>Una selección sorpresa preparada con excedentes del día. El contenido puede variar según disponibilidad.</x:v>
      </x:c>
      <x:c r="E57" s="43" t="str">
        <x:v>prepared_food</x:v>
      </x:c>
      <x:c r="F57" s="48" t="n">
        <x:v>1025</x:v>
      </x:c>
      <x:c r="G57" s="48" t="n">
        <x:v>513</x:v>
      </x:c>
      <x:c r="H57" s="48" t="n">
        <x:v>10</x:v>
      </x:c>
      <x:c r="I57" s="48" t="n">
        <x:v>9</x:v>
      </x:c>
      <x:c r="J57" s="43" t="n">
        <x:v>12</x:v>
      </x:c>
      <x:c r="K57" s="43" t="n">
        <x:v>14</x:v>
      </x:c>
      <x:c r="L57" s="43" t="str">
        <x:v>19:00</x:v>
      </x:c>
      <x:c r="M57" s="43" t="str">
        <x:v>21:00</x:v>
      </x:c>
      <x:c r="N57" s="43" t="str"/>
      <x:c r="O57" s="43" t="str">
        <x:v>gluten|soy</x:v>
      </x:c>
      <x:c r="P57" s="43" t="str">
        <x:v>https://images.unsplash.com/photo-1542838132-92c53300491e?auto=format&amp;fit=crop&amp;w=1000&amp;q=80</x:v>
      </x:c>
      <x:c r="Q57" s="43" t="str">
        <x:v>available</x:v>
      </x:c>
      <x:c r="R57" s="44" t="b">
        <x:v>0</x:v>
      </x:c>
      <x:c r="S57" s="43" t="n">
        <x:v>1375</x:v>
      </x:c>
      <x:c r="T57" s="43" t="n">
        <x:v>1800</x:v>
      </x:c>
    </x:row>
    <x:row r="58" ht="22" customHeight="1">
      <x:c r="A58" s="43" t="str">
        <x:v>PACK-0057</x:v>
      </x:c>
      <x:c r="B58" s="43" t="str">
        <x:v>EST-012</x:v>
      </x:c>
      <x:c r="C58" s="43" t="str">
        <x:v>Caja verde de aprovechamiento</x:v>
      </x:c>
      <x:c r="D58" s="43" t="str">
        <x:v>Una selección sorpresa preparada con excedentes del día. El contenido puede variar según disponibilidad.</x:v>
      </x:c>
      <x:c r="E58" s="43" t="str">
        <x:v>produce</x:v>
      </x:c>
      <x:c r="F58" s="48" t="n">
        <x:v>1150</x:v>
      </x:c>
      <x:c r="G58" s="48" t="n">
        <x:v>403</x:v>
      </x:c>
      <x:c r="H58" s="48" t="n">
        <x:v>4</x:v>
      </x:c>
      <x:c r="I58" s="48" t="n">
        <x:v>3</x:v>
      </x:c>
      <x:c r="J58" s="43" t="n">
        <x:v>-1</x:v>
      </x:c>
      <x:c r="K58" s="43" t="n">
        <x:v>1</x:v>
      </x:c>
      <x:c r="L58" s="43" t="str">
        <x:v>18:30</x:v>
      </x:c>
      <x:c r="M58" s="43" t="str">
        <x:v>20:00</x:v>
      </x:c>
      <x:c r="N58" s="43" t="str">
        <x:v>vegan|vegetarian|gluten_free</x:v>
      </x:c>
      <x:c r="O58" s="43" t="str"/>
      <x:c r="P58" s="43" t="str">
        <x:v>https://images.unsplash.com/photo-1547592180-85f173990554?auto=format&amp;fit=crop&amp;w=1000&amp;q=80</x:v>
      </x:c>
      <x:c r="Q58" s="43" t="str">
        <x:v>available</x:v>
      </x:c>
      <x:c r="R58" s="44" t="b">
        <x:v>1</x:v>
      </x:c>
      <x:c r="S58" s="43" t="n">
        <x:v>500</x:v>
      </x:c>
      <x:c r="T58" s="43" t="n">
        <x:v>1980</x:v>
      </x:c>
    </x:row>
    <x:row r="59" ht="22" customHeight="1">
      <x:c r="A59" s="43" t="str">
        <x:v>PACK-0058</x:v>
      </x:c>
      <x:c r="B59" s="43" t="str">
        <x:v>EST-012</x:v>
      </x:c>
      <x:c r="C59" s="43" t="str">
        <x:v>Desayuno completo</x:v>
      </x:c>
      <x:c r="D59" s="43" t="str">
        <x:v>Una selección sorpresa preparada con excedentes del día. El contenido puede variar según disponibilidad.</x:v>
      </x:c>
      <x:c r="E59" s="43" t="str">
        <x:v>breakfast</x:v>
      </x:c>
      <x:c r="F59" s="48" t="n">
        <x:v>1275</x:v>
      </x:c>
      <x:c r="G59" s="48" t="n">
        <x:v>510</x:v>
      </x:c>
      <x:c r="H59" s="48" t="n">
        <x:v>5</x:v>
      </x:c>
      <x:c r="I59" s="48" t="n">
        <x:v>4</x:v>
      </x:c>
      <x:c r="J59" s="43" t="n">
        <x:v>0</x:v>
      </x:c>
      <x:c r="K59" s="43" t="n">
        <x:v>2</x:v>
      </x:c>
      <x:c r="L59" s="43" t="str">
        <x:v>19:00</x:v>
      </x:c>
      <x:c r="M59" s="43" t="str">
        <x:v>21:00</x:v>
      </x:c>
      <x:c r="N59" s="43" t="str"/>
      <x:c r="O59" s="43" t="str">
        <x:v>gluten|milk</x:v>
      </x:c>
      <x:c r="P59" s="43" t="str">
        <x:v>https://images.unsplash.com/photo-1495474472287-4d71bcdd2085?auto=format&amp;fit=crop&amp;w=1000&amp;q=80</x:v>
      </x:c>
      <x:c r="Q59" s="43" t="str">
        <x:v>available</x:v>
      </x:c>
      <x:c r="R59" s="44" t="b">
        <x:v>0</x:v>
      </x:c>
      <x:c r="S59" s="43" t="n">
        <x:v>625</x:v>
      </x:c>
      <x:c r="T59" s="43" t="n">
        <x:v>2160</x:v>
      </x:c>
    </x:row>
    <x:row r="60" ht="22" customHeight="1">
      <x:c r="A60" s="43" t="str">
        <x:v>PACK-0059</x:v>
      </x:c>
      <x:c r="B60" s="43" t="str">
        <x:v>EST-012</x:v>
      </x:c>
      <x:c r="C60" s="43" t="str">
        <x:v>Sabores veganos del día</x:v>
      </x:c>
      <x:c r="D60" s="43" t="str">
        <x:v>Una selección sorpresa preparada con excedentes del día. El contenido puede variar según disponibilidad.</x:v>
      </x:c>
      <x:c r="E60" s="43" t="str">
        <x:v>vegan</x:v>
      </x:c>
      <x:c r="F60" s="48" t="n">
        <x:v>1400</x:v>
      </x:c>
      <x:c r="G60" s="48" t="n">
        <x:v>630</x:v>
      </x:c>
      <x:c r="H60" s="48" t="n">
        <x:v>6</x:v>
      </x:c>
      <x:c r="I60" s="48" t="n">
        <x:v>0</x:v>
      </x:c>
      <x:c r="J60" s="43" t="n">
        <x:v>1</x:v>
      </x:c>
      <x:c r="K60" s="43" t="n">
        <x:v>3</x:v>
      </x:c>
      <x:c r="L60" s="43" t="str">
        <x:v>18:30</x:v>
      </x:c>
      <x:c r="M60" s="43" t="str">
        <x:v>20:00</x:v>
      </x:c>
      <x:c r="N60" s="43" t="str">
        <x:v>vegan|vegetarian</x:v>
      </x:c>
      <x:c r="O60" s="43" t="str">
        <x:v>nuts|soy</x:v>
      </x:c>
      <x:c r="P60" s="43" t="str">
        <x:v>https://images.unsplash.com/photo-1540420773420-3366772f4999?auto=format&amp;fit=crop&amp;w=1000&amp;q=80</x:v>
      </x:c>
      <x:c r="Q60" s="43" t="str">
        <x:v>sold_out</x:v>
      </x:c>
      <x:c r="R60" s="44" t="b">
        <x:v>0</x:v>
      </x:c>
      <x:c r="S60" s="43" t="n">
        <x:v>750</x:v>
      </x:c>
      <x:c r="T60" s="43" t="n">
        <x:v>2340</x:v>
      </x:c>
    </x:row>
    <x:row r="61" ht="22" customHeight="1">
      <x:c r="A61" s="43" t="str">
        <x:v>PACK-0060</x:v>
      </x:c>
      <x:c r="B61" s="43" t="str">
        <x:v>EST-012</x:v>
      </x:c>
      <x:c r="C61" s="43" t="str">
        <x:v>Lote ahorro del día</x:v>
      </x:c>
      <x:c r="D61" s="43" t="str">
        <x:v>Una selección sorpresa preparada con excedentes del día. El contenido puede variar según disponibilidad.</x:v>
      </x:c>
      <x:c r="E61" s="43" t="str">
        <x:v>mixed</x:v>
      </x:c>
      <x:c r="F61" s="48" t="n">
        <x:v>1525</x:v>
      </x:c>
      <x:c r="G61" s="48" t="n">
        <x:v>763</x:v>
      </x:c>
      <x:c r="H61" s="48" t="n">
        <x:v>7</x:v>
      </x:c>
      <x:c r="I61" s="48" t="n">
        <x:v>6</x:v>
      </x:c>
      <x:c r="J61" s="43" t="n">
        <x:v>2</x:v>
      </x:c>
      <x:c r="K61" s="43" t="n">
        <x:v>4</x:v>
      </x:c>
      <x:c r="L61" s="43" t="str">
        <x:v>19:00</x:v>
      </x:c>
      <x:c r="M61" s="43" t="str">
        <x:v>21:00</x:v>
      </x:c>
      <x:c r="N61" s="43" t="str"/>
      <x:c r="O61" s="43" t="str">
        <x:v>gluten|milk|nuts</x:v>
      </x:c>
      <x:c r="P61" s="43" t="str">
        <x:v>https://images.unsplash.com/photo-1565299624946-b28f40a0ae38?auto=format&amp;fit=crop&amp;w=1000&amp;q=80</x:v>
      </x:c>
      <x:c r="Q61" s="43" t="str">
        <x:v>cancelled</x:v>
      </x:c>
      <x:c r="R61" s="44" t="b">
        <x:v>0</x:v>
      </x:c>
      <x:c r="S61" s="43" t="n">
        <x:v>875</x:v>
      </x:c>
      <x:c r="T61" s="43" t="n">
        <x:v>2520</x:v>
      </x:c>
    </x:row>
    <x:row r="62" ht="22" customHeight="1">
      <x:c r="A62" s="43" t="str">
        <x:v>PACK-0061</x:v>
      </x:c>
      <x:c r="B62" s="43" t="str">
        <x:v>EST-013</x:v>
      </x:c>
      <x:c r="C62" s="43" t="str">
        <x:v>Pack de pan artesano</x:v>
      </x:c>
      <x:c r="D62" s="43" t="str">
        <x:v>Una selección sorpresa preparada con excedentes del día. El contenido puede variar según disponibilidad.</x:v>
      </x:c>
      <x:c r="E62" s="43" t="str">
        <x:v>bakery</x:v>
      </x:c>
      <x:c r="F62" s="48" t="n">
        <x:v>1650</x:v>
      </x:c>
      <x:c r="G62" s="48" t="n">
        <x:v>578</x:v>
      </x:c>
      <x:c r="H62" s="48" t="n">
        <x:v>8</x:v>
      </x:c>
      <x:c r="I62" s="48" t="n">
        <x:v>7</x:v>
      </x:c>
      <x:c r="J62" s="43" t="n">
        <x:v>3</x:v>
      </x:c>
      <x:c r="K62" s="43" t="n">
        <x:v>5</x:v>
      </x:c>
      <x:c r="L62" s="43" t="str">
        <x:v>19:00</x:v>
      </x:c>
      <x:c r="M62" s="43" t="str">
        <x:v>21:00</x:v>
      </x:c>
      <x:c r="N62" s="43" t="str"/>
      <x:c r="O62" s="43" t="str">
        <x:v>gluten|milk|egg</x:v>
      </x:c>
      <x:c r="P62" s="43" t="str">
        <x:v>https://images.unsplash.com/photo-1509440159596-0249088772ff?auto=format&amp;fit=crop&amp;w=1000&amp;q=80</x:v>
      </x:c>
      <x:c r="Q62" s="43" t="str">
        <x:v>available</x:v>
      </x:c>
      <x:c r="R62" s="44" t="b">
        <x:v>0</x:v>
      </x:c>
      <x:c r="S62" s="43" t="n">
        <x:v>1000</x:v>
      </x:c>
      <x:c r="T62" s="43" t="n">
        <x:v>900</x:v>
      </x:c>
    </x:row>
    <x:row r="63" ht="22" customHeight="1">
      <x:c r="A63" s="43" t="str">
        <x:v>PACK-0062</x:v>
      </x:c>
      <x:c r="B63" s="43" t="str">
        <x:v>EST-013</x:v>
      </x:c>
      <x:c r="C63" s="43" t="str">
        <x:v>Platos listos para disfrutar</x:v>
      </x:c>
      <x:c r="D63" s="43" t="str">
        <x:v>Una selección sorpresa preparada con excedentes del día. El contenido puede variar según disponibilidad.</x:v>
      </x:c>
      <x:c r="E63" s="43" t="str">
        <x:v>prepared_food</x:v>
      </x:c>
      <x:c r="F63" s="48" t="n">
        <x:v>1775</x:v>
      </x:c>
      <x:c r="G63" s="48" t="n">
        <x:v>710</x:v>
      </x:c>
      <x:c r="H63" s="48" t="n">
        <x:v>9</x:v>
      </x:c>
      <x:c r="I63" s="48" t="n">
        <x:v>8</x:v>
      </x:c>
      <x:c r="J63" s="43" t="n">
        <x:v>4</x:v>
      </x:c>
      <x:c r="K63" s="43" t="n">
        <x:v>6</x:v>
      </x:c>
      <x:c r="L63" s="43" t="str">
        <x:v>18:30</x:v>
      </x:c>
      <x:c r="M63" s="43" t="str">
        <x:v>20:00</x:v>
      </x:c>
      <x:c r="N63" s="43" t="str"/>
      <x:c r="O63" s="43" t="str">
        <x:v>gluten|soy</x:v>
      </x:c>
      <x:c r="P63" s="43" t="str">
        <x:v>https://images.unsplash.com/photo-1542838132-92c53300491e?auto=format&amp;fit=crop&amp;w=1000&amp;q=80</x:v>
      </x:c>
      <x:c r="Q63" s="43" t="str">
        <x:v>available</x:v>
      </x:c>
      <x:c r="R63" s="44" t="b">
        <x:v>0</x:v>
      </x:c>
      <x:c r="S63" s="43" t="n">
        <x:v>1125</x:v>
      </x:c>
      <x:c r="T63" s="43" t="n">
        <x:v>1080</x:v>
      </x:c>
    </x:row>
    <x:row r="64" ht="22" customHeight="1">
      <x:c r="A64" s="43" t="str">
        <x:v>PACK-0063</x:v>
      </x:c>
      <x:c r="B64" s="43" t="str">
        <x:v>EST-013</x:v>
      </x:c>
      <x:c r="C64" s="43" t="str">
        <x:v>Caja verde de aprovechamiento</x:v>
      </x:c>
      <x:c r="D64" s="43" t="str">
        <x:v>Una selección sorpresa preparada con excedentes del día. El contenido puede variar según disponibilidad.</x:v>
      </x:c>
      <x:c r="E64" s="43" t="str">
        <x:v>produce</x:v>
      </x:c>
      <x:c r="F64" s="48" t="n">
        <x:v>1900</x:v>
      </x:c>
      <x:c r="G64" s="48" t="n">
        <x:v>855</x:v>
      </x:c>
      <x:c r="H64" s="48" t="n">
        <x:v>10</x:v>
      </x:c>
      <x:c r="I64" s="48" t="n">
        <x:v>9</x:v>
      </x:c>
      <x:c r="J64" s="43" t="n">
        <x:v>5</x:v>
      </x:c>
      <x:c r="K64" s="43" t="n">
        <x:v>7</x:v>
      </x:c>
      <x:c r="L64" s="43" t="str">
        <x:v>19:00</x:v>
      </x:c>
      <x:c r="M64" s="43" t="str">
        <x:v>21:00</x:v>
      </x:c>
      <x:c r="N64" s="43" t="str">
        <x:v>vegan|vegetarian|gluten_free</x:v>
      </x:c>
      <x:c r="O64" s="43" t="str"/>
      <x:c r="P64" s="43" t="str">
        <x:v>https://images.unsplash.com/photo-1547592180-85f173990554?auto=format&amp;fit=crop&amp;w=1000&amp;q=80</x:v>
      </x:c>
      <x:c r="Q64" s="43" t="str">
        <x:v>available</x:v>
      </x:c>
      <x:c r="R64" s="44" t="b">
        <x:v>0</x:v>
      </x:c>
      <x:c r="S64" s="43" t="n">
        <x:v>1250</x:v>
      </x:c>
      <x:c r="T64" s="43" t="n">
        <x:v>1260</x:v>
      </x:c>
    </x:row>
    <x:row r="65" ht="22" customHeight="1">
      <x:c r="A65" s="43" t="str">
        <x:v>PACK-0064</x:v>
      </x:c>
      <x:c r="B65" s="43" t="str">
        <x:v>EST-013</x:v>
      </x:c>
      <x:c r="C65" s="43" t="str">
        <x:v>Desayuno completo</x:v>
      </x:c>
      <x:c r="D65" s="43" t="str">
        <x:v>Una selección sorpresa preparada con excedentes del día. El contenido puede variar según disponibilidad.</x:v>
      </x:c>
      <x:c r="E65" s="43" t="str">
        <x:v>breakfast</x:v>
      </x:c>
      <x:c r="F65" s="48" t="n">
        <x:v>900</x:v>
      </x:c>
      <x:c r="G65" s="48" t="n">
        <x:v>450</x:v>
      </x:c>
      <x:c r="H65" s="48" t="n">
        <x:v>4</x:v>
      </x:c>
      <x:c r="I65" s="48" t="n">
        <x:v>0</x:v>
      </x:c>
      <x:c r="J65" s="43" t="n">
        <x:v>6</x:v>
      </x:c>
      <x:c r="K65" s="43" t="n">
        <x:v>8</x:v>
      </x:c>
      <x:c r="L65" s="43" t="str">
        <x:v>18:30</x:v>
      </x:c>
      <x:c r="M65" s="43" t="str">
        <x:v>20:00</x:v>
      </x:c>
      <x:c r="N65" s="43" t="str"/>
      <x:c r="O65" s="43" t="str">
        <x:v>gluten|milk</x:v>
      </x:c>
      <x:c r="P65" s="43" t="str">
        <x:v>https://images.unsplash.com/photo-1495474472287-4d71bcdd2085?auto=format&amp;fit=crop&amp;w=1000&amp;q=80</x:v>
      </x:c>
      <x:c r="Q65" s="43" t="str">
        <x:v>sold_out</x:v>
      </x:c>
      <x:c r="R65" s="44" t="b">
        <x:v>0</x:v>
      </x:c>
      <x:c r="S65" s="43" t="n">
        <x:v>1375</x:v>
      </x:c>
      <x:c r="T65" s="43" t="n">
        <x:v>1440</x:v>
      </x:c>
    </x:row>
    <x:row r="66" ht="22" customHeight="1">
      <x:c r="A66" s="43" t="str">
        <x:v>PACK-0065</x:v>
      </x:c>
      <x:c r="B66" s="43" t="str">
        <x:v>EST-013</x:v>
      </x:c>
      <x:c r="C66" s="43" t="str">
        <x:v>Sabores veganos del día</x:v>
      </x:c>
      <x:c r="D66" s="43" t="str">
        <x:v>Una selección sorpresa preparada con excedentes del día. El contenido puede variar según disponibilidad.</x:v>
      </x:c>
      <x:c r="E66" s="43" t="str">
        <x:v>vegan</x:v>
      </x:c>
      <x:c r="F66" s="48" t="n">
        <x:v>1025</x:v>
      </x:c>
      <x:c r="G66" s="48" t="n">
        <x:v>359</x:v>
      </x:c>
      <x:c r="H66" s="48" t="n">
        <x:v>5</x:v>
      </x:c>
      <x:c r="I66" s="48" t="n">
        <x:v>4</x:v>
      </x:c>
      <x:c r="J66" s="43" t="n">
        <x:v>-28</x:v>
      </x:c>
      <x:c r="K66" s="43" t="n">
        <x:v>-26</x:v>
      </x:c>
      <x:c r="L66" s="43" t="str">
        <x:v>19:00</x:v>
      </x:c>
      <x:c r="M66" s="43" t="str">
        <x:v>21:00</x:v>
      </x:c>
      <x:c r="N66" s="43" t="str">
        <x:v>vegan|vegetarian</x:v>
      </x:c>
      <x:c r="O66" s="43" t="str">
        <x:v>nuts|soy</x:v>
      </x:c>
      <x:c r="P66" s="43" t="str">
        <x:v>https://images.unsplash.com/photo-1540420773420-3366772f4999?auto=format&amp;fit=crop&amp;w=1000&amp;q=80</x:v>
      </x:c>
      <x:c r="Q66" s="43" t="str">
        <x:v>expired</x:v>
      </x:c>
      <x:c r="R66" s="44" t="b">
        <x:v>0</x:v>
      </x:c>
      <x:c r="S66" s="43" t="n">
        <x:v>500</x:v>
      </x:c>
      <x:c r="T66" s="43" t="n">
        <x:v>1620</x:v>
      </x:c>
    </x:row>
    <x:row r="67" ht="22" customHeight="1">
      <x:c r="A67" s="43" t="str">
        <x:v>PACK-0066</x:v>
      </x:c>
      <x:c r="B67" s="43" t="str">
        <x:v>EST-014</x:v>
      </x:c>
      <x:c r="C67" s="43" t="str">
        <x:v>Lote ahorro del día</x:v>
      </x:c>
      <x:c r="D67" s="43" t="str">
        <x:v>Una selección sorpresa preparada con excedentes del día. El contenido puede variar según disponibilidad.</x:v>
      </x:c>
      <x:c r="E67" s="43" t="str">
        <x:v>mixed</x:v>
      </x:c>
      <x:c r="F67" s="48" t="n">
        <x:v>1150</x:v>
      </x:c>
      <x:c r="G67" s="48" t="n">
        <x:v>460</x:v>
      </x:c>
      <x:c r="H67" s="48" t="n">
        <x:v>6</x:v>
      </x:c>
      <x:c r="I67" s="48" t="n">
        <x:v>5</x:v>
      </x:c>
      <x:c r="J67" s="43" t="n">
        <x:v>8</x:v>
      </x:c>
      <x:c r="K67" s="43" t="n">
        <x:v>10</x:v>
      </x:c>
      <x:c r="L67" s="43" t="str">
        <x:v>19:00</x:v>
      </x:c>
      <x:c r="M67" s="43" t="str">
        <x:v>21:00</x:v>
      </x:c>
      <x:c r="N67" s="43" t="str"/>
      <x:c r="O67" s="43" t="str">
        <x:v>gluten|milk|nuts</x:v>
      </x:c>
      <x:c r="P67" s="43" t="str">
        <x:v>https://images.unsplash.com/photo-1565299624946-b28f40a0ae38?auto=format&amp;fit=crop&amp;w=1000&amp;q=80</x:v>
      </x:c>
      <x:c r="Q67" s="43" t="str">
        <x:v>available</x:v>
      </x:c>
      <x:c r="R67" s="44" t="b">
        <x:v>0</x:v>
      </x:c>
      <x:c r="S67" s="43" t="n">
        <x:v>625</x:v>
      </x:c>
      <x:c r="T67" s="43" t="n">
        <x:v>1800</x:v>
      </x:c>
    </x:row>
    <x:row r="68" ht="22" customHeight="1">
      <x:c r="A68" s="43" t="str">
        <x:v>PACK-0067</x:v>
      </x:c>
      <x:c r="B68" s="43" t="str">
        <x:v>EST-014</x:v>
      </x:c>
      <x:c r="C68" s="43" t="str">
        <x:v>Pack de pan artesano</x:v>
      </x:c>
      <x:c r="D68" s="43" t="str">
        <x:v>Una selección sorpresa preparada con excedentes del día. El contenido puede variar según disponibilidad.</x:v>
      </x:c>
      <x:c r="E68" s="43" t="str">
        <x:v>bakery</x:v>
      </x:c>
      <x:c r="F68" s="48" t="n">
        <x:v>1275</x:v>
      </x:c>
      <x:c r="G68" s="48" t="n">
        <x:v>574</x:v>
      </x:c>
      <x:c r="H68" s="48" t="n">
        <x:v>7</x:v>
      </x:c>
      <x:c r="I68" s="48" t="n">
        <x:v>6</x:v>
      </x:c>
      <x:c r="J68" s="43" t="n">
        <x:v>9</x:v>
      </x:c>
      <x:c r="K68" s="43" t="n">
        <x:v>11</x:v>
      </x:c>
      <x:c r="L68" s="43" t="str">
        <x:v>18:30</x:v>
      </x:c>
      <x:c r="M68" s="43" t="str">
        <x:v>20:00</x:v>
      </x:c>
      <x:c r="N68" s="43" t="str"/>
      <x:c r="O68" s="43" t="str">
        <x:v>gluten|milk|egg</x:v>
      </x:c>
      <x:c r="P68" s="43" t="str">
        <x:v>https://images.unsplash.com/photo-1509440159596-0249088772ff?auto=format&amp;fit=crop&amp;w=1000&amp;q=80</x:v>
      </x:c>
      <x:c r="Q68" s="43" t="str">
        <x:v>available</x:v>
      </x:c>
      <x:c r="R68" s="44" t="b">
        <x:v>0</x:v>
      </x:c>
      <x:c r="S68" s="43" t="n">
        <x:v>750</x:v>
      </x:c>
      <x:c r="T68" s="43" t="n">
        <x:v>1980</x:v>
      </x:c>
    </x:row>
    <x:row r="69" ht="22" customHeight="1">
      <x:c r="A69" s="43" t="str">
        <x:v>PACK-0068</x:v>
      </x:c>
      <x:c r="B69" s="43" t="str">
        <x:v>EST-014</x:v>
      </x:c>
      <x:c r="C69" s="43" t="str">
        <x:v>Platos listos para disfrutar</x:v>
      </x:c>
      <x:c r="D69" s="43" t="str">
        <x:v>Una selección sorpresa preparada con excedentes del día. El contenido puede variar según disponibilidad.</x:v>
      </x:c>
      <x:c r="E69" s="43" t="str">
        <x:v>prepared_food</x:v>
      </x:c>
      <x:c r="F69" s="48" t="n">
        <x:v>1400</x:v>
      </x:c>
      <x:c r="G69" s="48" t="n">
        <x:v>700</x:v>
      </x:c>
      <x:c r="H69" s="48" t="n">
        <x:v>8</x:v>
      </x:c>
      <x:c r="I69" s="48" t="n">
        <x:v>7</x:v>
      </x:c>
      <x:c r="J69" s="43" t="n">
        <x:v>10</x:v>
      </x:c>
      <x:c r="K69" s="43" t="n">
        <x:v>12</x:v>
      </x:c>
      <x:c r="L69" s="43" t="str">
        <x:v>19:00</x:v>
      </x:c>
      <x:c r="M69" s="43" t="str">
        <x:v>21:00</x:v>
      </x:c>
      <x:c r="N69" s="43" t="str"/>
      <x:c r="O69" s="43" t="str">
        <x:v>gluten|soy</x:v>
      </x:c>
      <x:c r="P69" s="43" t="str">
        <x:v>https://images.unsplash.com/photo-1542838132-92c53300491e?auto=format&amp;fit=crop&amp;w=1000&amp;q=80</x:v>
      </x:c>
      <x:c r="Q69" s="43" t="str">
        <x:v>available</x:v>
      </x:c>
      <x:c r="R69" s="44" t="b">
        <x:v>0</x:v>
      </x:c>
      <x:c r="S69" s="43" t="n">
        <x:v>875</x:v>
      </x:c>
      <x:c r="T69" s="43" t="n">
        <x:v>2160</x:v>
      </x:c>
    </x:row>
    <x:row r="70" ht="22" customHeight="1">
      <x:c r="A70" s="43" t="str">
        <x:v>PACK-0069</x:v>
      </x:c>
      <x:c r="B70" s="43" t="str">
        <x:v>EST-014</x:v>
      </x:c>
      <x:c r="C70" s="43" t="str">
        <x:v>Caja verde de aprovechamiento</x:v>
      </x:c>
      <x:c r="D70" s="43" t="str">
        <x:v>Una selección sorpresa preparada con excedentes del día. El contenido puede variar según disponibilidad.</x:v>
      </x:c>
      <x:c r="E70" s="43" t="str">
        <x:v>produce</x:v>
      </x:c>
      <x:c r="F70" s="48" t="n">
        <x:v>1525</x:v>
      </x:c>
      <x:c r="G70" s="48" t="n">
        <x:v>534</x:v>
      </x:c>
      <x:c r="H70" s="48" t="n">
        <x:v>9</x:v>
      </x:c>
      <x:c r="I70" s="48" t="n">
        <x:v>0</x:v>
      </x:c>
      <x:c r="J70" s="43" t="n">
        <x:v>11</x:v>
      </x:c>
      <x:c r="K70" s="43" t="n">
        <x:v>13</x:v>
      </x:c>
      <x:c r="L70" s="43" t="str">
        <x:v>18:30</x:v>
      </x:c>
      <x:c r="M70" s="43" t="str">
        <x:v>20:00</x:v>
      </x:c>
      <x:c r="N70" s="43" t="str">
        <x:v>vegan|vegetarian|gluten_free</x:v>
      </x:c>
      <x:c r="O70" s="43" t="str"/>
      <x:c r="P70" s="43" t="str">
        <x:v>https://images.unsplash.com/photo-1547592180-85f173990554?auto=format&amp;fit=crop&amp;w=1000&amp;q=80</x:v>
      </x:c>
      <x:c r="Q70" s="43" t="str">
        <x:v>sold_out</x:v>
      </x:c>
      <x:c r="R70" s="44" t="b">
        <x:v>0</x:v>
      </x:c>
      <x:c r="S70" s="43" t="n">
        <x:v>1000</x:v>
      </x:c>
      <x:c r="T70" s="43" t="n">
        <x:v>2340</x:v>
      </x:c>
    </x:row>
    <x:row r="71" ht="22" customHeight="1">
      <x:c r="A71" s="43" t="str">
        <x:v>PACK-0070</x:v>
      </x:c>
      <x:c r="B71" s="43" t="str">
        <x:v>EST-014</x:v>
      </x:c>
      <x:c r="C71" s="43" t="str">
        <x:v>Desayuno completo</x:v>
      </x:c>
      <x:c r="D71" s="43" t="str">
        <x:v>Una selección sorpresa preparada con excedentes del día. El contenido puede variar según disponibilidad.</x:v>
      </x:c>
      <x:c r="E71" s="43" t="str">
        <x:v>breakfast</x:v>
      </x:c>
      <x:c r="F71" s="48" t="n">
        <x:v>1650</x:v>
      </x:c>
      <x:c r="G71" s="48" t="n">
        <x:v>660</x:v>
      </x:c>
      <x:c r="H71" s="48" t="n">
        <x:v>10</x:v>
      </x:c>
      <x:c r="I71" s="48" t="n">
        <x:v>9</x:v>
      </x:c>
      <x:c r="J71" s="43" t="n">
        <x:v>-33</x:v>
      </x:c>
      <x:c r="K71" s="43" t="n">
        <x:v>-31</x:v>
      </x:c>
      <x:c r="L71" s="43" t="str">
        <x:v>19:00</x:v>
      </x:c>
      <x:c r="M71" s="43" t="str">
        <x:v>21:00</x:v>
      </x:c>
      <x:c r="N71" s="43" t="str"/>
      <x:c r="O71" s="43" t="str">
        <x:v>gluten|milk</x:v>
      </x:c>
      <x:c r="P71" s="43" t="str">
        <x:v>https://images.unsplash.com/photo-1495474472287-4d71bcdd2085?auto=format&amp;fit=crop&amp;w=1000&amp;q=80</x:v>
      </x:c>
      <x:c r="Q71" s="43" t="str">
        <x:v>expired</x:v>
      </x:c>
      <x:c r="R71" s="44" t="b">
        <x:v>0</x:v>
      </x:c>
      <x:c r="S71" s="43" t="n">
        <x:v>1125</x:v>
      </x:c>
      <x:c r="T71" s="43" t="n">
        <x:v>2520</x:v>
      </x:c>
    </x:row>
    <x:row r="72" ht="22" customHeight="1">
      <x:c r="A72" s="43" t="str">
        <x:v>PACK-0071</x:v>
      </x:c>
      <x:c r="B72" s="43" t="str">
        <x:v>EST-015</x:v>
      </x:c>
      <x:c r="C72" s="43" t="str">
        <x:v>Sabores veganos del día</x:v>
      </x:c>
      <x:c r="D72" s="43" t="str">
        <x:v>Una selección sorpresa preparada con excedentes del día. El contenido puede variar según disponibilidad.</x:v>
      </x:c>
      <x:c r="E72" s="43" t="str">
        <x:v>vegan</x:v>
      </x:c>
      <x:c r="F72" s="48" t="n">
        <x:v>1775</x:v>
      </x:c>
      <x:c r="G72" s="48" t="n">
        <x:v>799</x:v>
      </x:c>
      <x:c r="H72" s="48" t="n">
        <x:v>4</x:v>
      </x:c>
      <x:c r="I72" s="48" t="n">
        <x:v>3</x:v>
      </x:c>
      <x:c r="J72" s="43" t="n">
        <x:v>-1</x:v>
      </x:c>
      <x:c r="K72" s="43" t="n">
        <x:v>1</x:v>
      </x:c>
      <x:c r="L72" s="43" t="str">
        <x:v>19:00</x:v>
      </x:c>
      <x:c r="M72" s="43" t="str">
        <x:v>21:00</x:v>
      </x:c>
      <x:c r="N72" s="43" t="str">
        <x:v>vegan|vegetarian</x:v>
      </x:c>
      <x:c r="O72" s="43" t="str">
        <x:v>nuts|soy</x:v>
      </x:c>
      <x:c r="P72" s="43" t="str">
        <x:v>https://images.unsplash.com/photo-1540420773420-3366772f4999?auto=format&amp;fit=crop&amp;w=1000&amp;q=80</x:v>
      </x:c>
      <x:c r="Q72" s="43" t="str">
        <x:v>available</x:v>
      </x:c>
      <x:c r="R72" s="44" t="b">
        <x:v>1</x:v>
      </x:c>
      <x:c r="S72" s="43" t="n">
        <x:v>1250</x:v>
      </x:c>
      <x:c r="T72" s="43" t="n">
        <x:v>900</x:v>
      </x:c>
    </x:row>
    <x:row r="73" ht="22" customHeight="1">
      <x:c r="A73" s="43" t="str">
        <x:v>PACK-0072</x:v>
      </x:c>
      <x:c r="B73" s="43" t="str">
        <x:v>EST-015</x:v>
      </x:c>
      <x:c r="C73" s="43" t="str">
        <x:v>Lote ahorro del día</x:v>
      </x:c>
      <x:c r="D73" s="43" t="str">
        <x:v>Una selección sorpresa preparada con excedentes del día. El contenido puede variar según disponibilidad.</x:v>
      </x:c>
      <x:c r="E73" s="43" t="str">
        <x:v>mixed</x:v>
      </x:c>
      <x:c r="F73" s="48" t="n">
        <x:v>1900</x:v>
      </x:c>
      <x:c r="G73" s="48" t="n">
        <x:v>950</x:v>
      </x:c>
      <x:c r="H73" s="48" t="n">
        <x:v>5</x:v>
      </x:c>
      <x:c r="I73" s="48" t="n">
        <x:v>4</x:v>
      </x:c>
      <x:c r="J73" s="43" t="n">
        <x:v>0</x:v>
      </x:c>
      <x:c r="K73" s="43" t="n">
        <x:v>2</x:v>
      </x:c>
      <x:c r="L73" s="43" t="str">
        <x:v>18:30</x:v>
      </x:c>
      <x:c r="M73" s="43" t="str">
        <x:v>20:00</x:v>
      </x:c>
      <x:c r="N73" s="43" t="str"/>
      <x:c r="O73" s="43" t="str">
        <x:v>gluten|milk|nuts</x:v>
      </x:c>
      <x:c r="P73" s="43" t="str">
        <x:v>https://images.unsplash.com/photo-1565299624946-b28f40a0ae38?auto=format&amp;fit=crop&amp;w=1000&amp;q=80</x:v>
      </x:c>
      <x:c r="Q73" s="43" t="str">
        <x:v>available</x:v>
      </x:c>
      <x:c r="R73" s="44" t="b">
        <x:v>0</x:v>
      </x:c>
      <x:c r="S73" s="43" t="n">
        <x:v>1375</x:v>
      </x:c>
      <x:c r="T73" s="43" t="n">
        <x:v>1080</x:v>
      </x:c>
    </x:row>
    <x:row r="74" ht="22" customHeight="1">
      <x:c r="A74" s="43" t="str">
        <x:v>PACK-0073</x:v>
      </x:c>
      <x:c r="B74" s="43" t="str">
        <x:v>EST-015</x:v>
      </x:c>
      <x:c r="C74" s="43" t="str">
        <x:v>Pack de pan artesano</x:v>
      </x:c>
      <x:c r="D74" s="43" t="str">
        <x:v>Una selección sorpresa preparada con excedentes del día. El contenido puede variar según disponibilidad.</x:v>
      </x:c>
      <x:c r="E74" s="43" t="str">
        <x:v>bakery</x:v>
      </x:c>
      <x:c r="F74" s="48" t="n">
        <x:v>900</x:v>
      </x:c>
      <x:c r="G74" s="48" t="n">
        <x:v>315</x:v>
      </x:c>
      <x:c r="H74" s="48" t="n">
        <x:v>6</x:v>
      </x:c>
      <x:c r="I74" s="48" t="n">
        <x:v>5</x:v>
      </x:c>
      <x:c r="J74" s="43" t="n">
        <x:v>1</x:v>
      </x:c>
      <x:c r="K74" s="43" t="n">
        <x:v>3</x:v>
      </x:c>
      <x:c r="L74" s="43" t="str">
        <x:v>19:00</x:v>
      </x:c>
      <x:c r="M74" s="43" t="str">
        <x:v>21:00</x:v>
      </x:c>
      <x:c r="N74" s="43" t="str"/>
      <x:c r="O74" s="43" t="str">
        <x:v>gluten|milk|egg</x:v>
      </x:c>
      <x:c r="P74" s="43" t="str">
        <x:v>https://images.unsplash.com/photo-1509440159596-0249088772ff?auto=format&amp;fit=crop&amp;w=1000&amp;q=80</x:v>
      </x:c>
      <x:c r="Q74" s="43" t="str">
        <x:v>available</x:v>
      </x:c>
      <x:c r="R74" s="44" t="b">
        <x:v>0</x:v>
      </x:c>
      <x:c r="S74" s="43" t="n">
        <x:v>500</x:v>
      </x:c>
      <x:c r="T74" s="43" t="n">
        <x:v>1260</x:v>
      </x:c>
    </x:row>
    <x:row r="75" ht="22" customHeight="1">
      <x:c r="A75" s="43" t="str">
        <x:v>PACK-0074</x:v>
      </x:c>
      <x:c r="B75" s="43" t="str">
        <x:v>EST-015</x:v>
      </x:c>
      <x:c r="C75" s="43" t="str">
        <x:v>Platos listos para disfrutar</x:v>
      </x:c>
      <x:c r="D75" s="43" t="str">
        <x:v>Una selección sorpresa preparada con excedentes del día. El contenido puede variar según disponibilidad.</x:v>
      </x:c>
      <x:c r="E75" s="43" t="str">
        <x:v>prepared_food</x:v>
      </x:c>
      <x:c r="F75" s="48" t="n">
        <x:v>1025</x:v>
      </x:c>
      <x:c r="G75" s="48" t="n">
        <x:v>410</x:v>
      </x:c>
      <x:c r="H75" s="48" t="n">
        <x:v>7</x:v>
      </x:c>
      <x:c r="I75" s="48" t="n">
        <x:v>6</x:v>
      </x:c>
      <x:c r="J75" s="43" t="n">
        <x:v>-37</x:v>
      </x:c>
      <x:c r="K75" s="43" t="n">
        <x:v>-35</x:v>
      </x:c>
      <x:c r="L75" s="43" t="str">
        <x:v>18:30</x:v>
      </x:c>
      <x:c r="M75" s="43" t="str">
        <x:v>20:00</x:v>
      </x:c>
      <x:c r="N75" s="43" t="str"/>
      <x:c r="O75" s="43" t="str">
        <x:v>gluten|soy</x:v>
      </x:c>
      <x:c r="P75" s="43" t="str">
        <x:v>https://images.unsplash.com/photo-1542838132-92c53300491e?auto=format&amp;fit=crop&amp;w=1000&amp;q=80</x:v>
      </x:c>
      <x:c r="Q75" s="43" t="str">
        <x:v>expired</x:v>
      </x:c>
      <x:c r="R75" s="44" t="b">
        <x:v>0</x:v>
      </x:c>
      <x:c r="S75" s="43" t="n">
        <x:v>625</x:v>
      </x:c>
      <x:c r="T75" s="43" t="n">
        <x:v>1440</x:v>
      </x:c>
    </x:row>
    <x:row r="76" ht="22" customHeight="1">
      <x:c r="A76" s="43" t="str">
        <x:v>PACK-0075</x:v>
      </x:c>
      <x:c r="B76" s="43" t="str">
        <x:v>EST-015</x:v>
      </x:c>
      <x:c r="C76" s="43" t="str">
        <x:v>Caja verde de aprovechamiento</x:v>
      </x:c>
      <x:c r="D76" s="43" t="str">
        <x:v>Una selección sorpresa preparada con excedentes del día. El contenido puede variar según disponibilidad.</x:v>
      </x:c>
      <x:c r="E76" s="43" t="str">
        <x:v>produce</x:v>
      </x:c>
      <x:c r="F76" s="48" t="n">
        <x:v>1150</x:v>
      </x:c>
      <x:c r="G76" s="48" t="n">
        <x:v>518</x:v>
      </x:c>
      <x:c r="H76" s="48" t="n">
        <x:v>8</x:v>
      </x:c>
      <x:c r="I76" s="48" t="n">
        <x:v>7</x:v>
      </x:c>
      <x:c r="J76" s="43" t="n">
        <x:v>-38</x:v>
      </x:c>
      <x:c r="K76" s="43" t="n">
        <x:v>-36</x:v>
      </x:c>
      <x:c r="L76" s="43" t="str">
        <x:v>19:00</x:v>
      </x:c>
      <x:c r="M76" s="43" t="str">
        <x:v>21:00</x:v>
      </x:c>
      <x:c r="N76" s="43" t="str">
        <x:v>vegan|vegetarian|gluten_free</x:v>
      </x:c>
      <x:c r="O76" s="43" t="str"/>
      <x:c r="P76" s="43" t="str">
        <x:v>https://images.unsplash.com/photo-1547592180-85f173990554?auto=format&amp;fit=crop&amp;w=1000&amp;q=80</x:v>
      </x:c>
      <x:c r="Q76" s="43" t="str">
        <x:v>expired</x:v>
      </x:c>
      <x:c r="R76" s="44" t="b">
        <x:v>0</x:v>
      </x:c>
      <x:c r="S76" s="43" t="n">
        <x:v>750</x:v>
      </x:c>
      <x:c r="T76" s="43" t="n">
        <x:v>1620</x:v>
      </x:c>
    </x:row>
    <x:row r="77" ht="22" customHeight="1">
      <x:c r="A77" s="43" t="str">
        <x:v>PACK-0076</x:v>
      </x:c>
      <x:c r="B77" s="43" t="str">
        <x:v>EST-016</x:v>
      </x:c>
      <x:c r="C77" s="43" t="str">
        <x:v>Desayuno completo</x:v>
      </x:c>
      <x:c r="D77" s="43" t="str">
        <x:v>Una selección sorpresa preparada con excedentes del día. El contenido puede variar según disponibilidad.</x:v>
      </x:c>
      <x:c r="E77" s="43" t="str">
        <x:v>breakfast</x:v>
      </x:c>
      <x:c r="F77" s="48" t="n">
        <x:v>1275</x:v>
      </x:c>
      <x:c r="G77" s="48" t="n">
        <x:v>638</x:v>
      </x:c>
      <x:c r="H77" s="48" t="n">
        <x:v>9</x:v>
      </x:c>
      <x:c r="I77" s="48" t="n">
        <x:v>8</x:v>
      </x:c>
      <x:c r="J77" s="43" t="n">
        <x:v>4</x:v>
      </x:c>
      <x:c r="K77" s="43" t="n">
        <x:v>6</x:v>
      </x:c>
      <x:c r="L77" s="43" t="str">
        <x:v>19:00</x:v>
      </x:c>
      <x:c r="M77" s="43" t="str">
        <x:v>21:00</x:v>
      </x:c>
      <x:c r="N77" s="43" t="str"/>
      <x:c r="O77" s="43" t="str">
        <x:v>gluten|milk</x:v>
      </x:c>
      <x:c r="P77" s="43" t="str">
        <x:v>https://images.unsplash.com/photo-1495474472287-4d71bcdd2085?auto=format&amp;fit=crop&amp;w=1000&amp;q=80</x:v>
      </x:c>
      <x:c r="Q77" s="43" t="str">
        <x:v>available</x:v>
      </x:c>
      <x:c r="R77" s="44" t="b">
        <x:v>0</x:v>
      </x:c>
      <x:c r="S77" s="43" t="n">
        <x:v>875</x:v>
      </x:c>
      <x:c r="T77" s="43" t="n">
        <x:v>1800</x:v>
      </x:c>
    </x:row>
    <x:row r="78" ht="22" customHeight="1">
      <x:c r="A78" s="43" t="str">
        <x:v>PACK-0077</x:v>
      </x:c>
      <x:c r="B78" s="43" t="str">
        <x:v>EST-016</x:v>
      </x:c>
      <x:c r="C78" s="43" t="str">
        <x:v>Sabores veganos del día</x:v>
      </x:c>
      <x:c r="D78" s="43" t="str">
        <x:v>Una selección sorpresa preparada con excedentes del día. El contenido puede variar según disponibilidad.</x:v>
      </x:c>
      <x:c r="E78" s="43" t="str">
        <x:v>vegan</x:v>
      </x:c>
      <x:c r="F78" s="48" t="n">
        <x:v>1400</x:v>
      </x:c>
      <x:c r="G78" s="48" t="n">
        <x:v>490</x:v>
      </x:c>
      <x:c r="H78" s="48" t="n">
        <x:v>10</x:v>
      </x:c>
      <x:c r="I78" s="48" t="n">
        <x:v>9</x:v>
      </x:c>
      <x:c r="J78" s="43" t="n">
        <x:v>5</x:v>
      </x:c>
      <x:c r="K78" s="43" t="n">
        <x:v>7</x:v>
      </x:c>
      <x:c r="L78" s="43" t="str">
        <x:v>18:30</x:v>
      </x:c>
      <x:c r="M78" s="43" t="str">
        <x:v>20:00</x:v>
      </x:c>
      <x:c r="N78" s="43" t="str">
        <x:v>vegan|vegetarian</x:v>
      </x:c>
      <x:c r="O78" s="43" t="str">
        <x:v>nuts|soy</x:v>
      </x:c>
      <x:c r="P78" s="43" t="str">
        <x:v>https://images.unsplash.com/photo-1540420773420-3366772f4999?auto=format&amp;fit=crop&amp;w=1000&amp;q=80</x:v>
      </x:c>
      <x:c r="Q78" s="43" t="str">
        <x:v>available</x:v>
      </x:c>
      <x:c r="R78" s="44" t="b">
        <x:v>0</x:v>
      </x:c>
      <x:c r="S78" s="43" t="n">
        <x:v>1000</x:v>
      </x:c>
      <x:c r="T78" s="43" t="n">
        <x:v>1980</x:v>
      </x:c>
    </x:row>
    <x:row r="79" ht="22" customHeight="1">
      <x:c r="A79" s="43" t="str">
        <x:v>PACK-0078</x:v>
      </x:c>
      <x:c r="B79" s="43" t="str">
        <x:v>EST-016</x:v>
      </x:c>
      <x:c r="C79" s="43" t="str">
        <x:v>Lote ahorro del día</x:v>
      </x:c>
      <x:c r="D79" s="43" t="str">
        <x:v>Una selección sorpresa preparada con excedentes del día. El contenido puede variar según disponibilidad.</x:v>
      </x:c>
      <x:c r="E79" s="43" t="str">
        <x:v>mixed</x:v>
      </x:c>
      <x:c r="F79" s="48" t="n">
        <x:v>1525</x:v>
      </x:c>
      <x:c r="G79" s="48" t="n">
        <x:v>610</x:v>
      </x:c>
      <x:c r="H79" s="48" t="n">
        <x:v>4</x:v>
      </x:c>
      <x:c r="I79" s="48" t="n">
        <x:v>3</x:v>
      </x:c>
      <x:c r="J79" s="43" t="n">
        <x:v>6</x:v>
      </x:c>
      <x:c r="K79" s="43" t="n">
        <x:v>8</x:v>
      </x:c>
      <x:c r="L79" s="43" t="str">
        <x:v>19:00</x:v>
      </x:c>
      <x:c r="M79" s="43" t="str">
        <x:v>21:00</x:v>
      </x:c>
      <x:c r="N79" s="43" t="str"/>
      <x:c r="O79" s="43" t="str">
        <x:v>gluten|milk|nuts</x:v>
      </x:c>
      <x:c r="P79" s="43" t="str">
        <x:v>https://images.unsplash.com/photo-1565299624946-b28f40a0ae38?auto=format&amp;fit=crop&amp;w=1000&amp;q=80</x:v>
      </x:c>
      <x:c r="Q79" s="43" t="str">
        <x:v>available</x:v>
      </x:c>
      <x:c r="R79" s="44" t="b">
        <x:v>1</x:v>
      </x:c>
      <x:c r="S79" s="43" t="n">
        <x:v>1125</x:v>
      </x:c>
      <x:c r="T79" s="43" t="n">
        <x:v>2160</x:v>
      </x:c>
    </x:row>
    <x:row r="80" ht="22" customHeight="1">
      <x:c r="A80" s="43" t="str">
        <x:v>PACK-0079</x:v>
      </x:c>
      <x:c r="B80" s="43" t="str">
        <x:v>EST-016</x:v>
      </x:c>
      <x:c r="C80" s="43" t="str">
        <x:v>Pack de pan artesano</x:v>
      </x:c>
      <x:c r="D80" s="43" t="str">
        <x:v>Una selección sorpresa preparada con excedentes del día. El contenido puede variar según disponibilidad.</x:v>
      </x:c>
      <x:c r="E80" s="43" t="str">
        <x:v>bakery</x:v>
      </x:c>
      <x:c r="F80" s="48" t="n">
        <x:v>1650</x:v>
      </x:c>
      <x:c r="G80" s="48" t="n">
        <x:v>742</x:v>
      </x:c>
      <x:c r="H80" s="48" t="n">
        <x:v>5</x:v>
      </x:c>
      <x:c r="I80" s="48" t="n">
        <x:v>4</x:v>
      </x:c>
      <x:c r="J80" s="43" t="n">
        <x:v>-42</x:v>
      </x:c>
      <x:c r="K80" s="43" t="n">
        <x:v>-40</x:v>
      </x:c>
      <x:c r="L80" s="43" t="str">
        <x:v>18:30</x:v>
      </x:c>
      <x:c r="M80" s="43" t="str">
        <x:v>20:00</x:v>
      </x:c>
      <x:c r="N80" s="43" t="str"/>
      <x:c r="O80" s="43" t="str">
        <x:v>gluten|milk|egg</x:v>
      </x:c>
      <x:c r="P80" s="43" t="str">
        <x:v>https://images.unsplash.com/photo-1509440159596-0249088772ff?auto=format&amp;fit=crop&amp;w=1000&amp;q=80</x:v>
      </x:c>
      <x:c r="Q80" s="43" t="str">
        <x:v>expired</x:v>
      </x:c>
      <x:c r="R80" s="44" t="b">
        <x:v>0</x:v>
      </x:c>
      <x:c r="S80" s="43" t="n">
        <x:v>1250</x:v>
      </x:c>
      <x:c r="T80" s="43" t="n">
        <x:v>2340</x:v>
      </x:c>
    </x:row>
    <x:row r="81" ht="22" customHeight="1">
      <x:c r="A81" s="43" t="str">
        <x:v>PACK-0080</x:v>
      </x:c>
      <x:c r="B81" s="43" t="str">
        <x:v>EST-016</x:v>
      </x:c>
      <x:c r="C81" s="43" t="str">
        <x:v>Platos listos para disfrutar</x:v>
      </x:c>
      <x:c r="D81" s="43" t="str">
        <x:v>Una selección sorpresa preparada con excedentes del día. El contenido puede variar según disponibilidad.</x:v>
      </x:c>
      <x:c r="E81" s="43" t="str">
        <x:v>prepared_food</x:v>
      </x:c>
      <x:c r="F81" s="48" t="n">
        <x:v>1775</x:v>
      </x:c>
      <x:c r="G81" s="48" t="n">
        <x:v>888</x:v>
      </x:c>
      <x:c r="H81" s="48" t="n">
        <x:v>6</x:v>
      </x:c>
      <x:c r="I81" s="48" t="n">
        <x:v>5</x:v>
      </x:c>
      <x:c r="J81" s="43" t="n">
        <x:v>-43</x:v>
      </x:c>
      <x:c r="K81" s="43" t="n">
        <x:v>-41</x:v>
      </x:c>
      <x:c r="L81" s="43" t="str">
        <x:v>19:00</x:v>
      </x:c>
      <x:c r="M81" s="43" t="str">
        <x:v>21:00</x:v>
      </x:c>
      <x:c r="N81" s="43" t="str"/>
      <x:c r="O81" s="43" t="str">
        <x:v>gluten|soy</x:v>
      </x:c>
      <x:c r="P81" s="43" t="str">
        <x:v>https://images.unsplash.com/photo-1542838132-92c53300491e?auto=format&amp;fit=crop&amp;w=1000&amp;q=80</x:v>
      </x:c>
      <x:c r="Q81" s="43" t="str">
        <x:v>expired</x:v>
      </x:c>
      <x:c r="R81" s="44" t="b">
        <x:v>0</x:v>
      </x:c>
      <x:c r="S81" s="43" t="n">
        <x:v>1375</x:v>
      </x:c>
      <x:c r="T81" s="43" t="n">
        <x:v>2520</x:v>
      </x:c>
    </x:row>
    <x:row r="82" ht="22" customHeight="1">
      <x:c r="A82" s="43" t="str">
        <x:v>PACK-0081</x:v>
      </x:c>
      <x:c r="B82" s="43" t="str">
        <x:v>EST-017</x:v>
      </x:c>
      <x:c r="C82" s="43" t="str">
        <x:v>Caja verde de aprovechamiento</x:v>
      </x:c>
      <x:c r="D82" s="43" t="str">
        <x:v>Una selección sorpresa preparada con excedentes del día. El contenido puede variar según disponibilidad.</x:v>
      </x:c>
      <x:c r="E82" s="43" t="str">
        <x:v>produce</x:v>
      </x:c>
      <x:c r="F82" s="48" t="n">
        <x:v>1900</x:v>
      </x:c>
      <x:c r="G82" s="48" t="n">
        <x:v>665</x:v>
      </x:c>
      <x:c r="H82" s="48" t="n">
        <x:v>7</x:v>
      </x:c>
      <x:c r="I82" s="48" t="n">
        <x:v>6</x:v>
      </x:c>
      <x:c r="J82" s="43" t="n">
        <x:v>9</x:v>
      </x:c>
      <x:c r="K82" s="43" t="n">
        <x:v>11</x:v>
      </x:c>
      <x:c r="L82" s="43" t="str">
        <x:v>19:00</x:v>
      </x:c>
      <x:c r="M82" s="43" t="str">
        <x:v>21:00</x:v>
      </x:c>
      <x:c r="N82" s="43" t="str">
        <x:v>vegan|vegetarian|gluten_free</x:v>
      </x:c>
      <x:c r="O82" s="43" t="str"/>
      <x:c r="P82" s="43" t="str">
        <x:v>https://images.unsplash.com/photo-1547592180-85f173990554?auto=format&amp;fit=crop&amp;w=1000&amp;q=80</x:v>
      </x:c>
      <x:c r="Q82" s="43" t="str">
        <x:v>available</x:v>
      </x:c>
      <x:c r="R82" s="44" t="b">
        <x:v>0</x:v>
      </x:c>
      <x:c r="S82" s="43" t="n">
        <x:v>500</x:v>
      </x:c>
      <x:c r="T82" s="43" t="n">
        <x:v>900</x:v>
      </x:c>
    </x:row>
    <x:row r="83" ht="22" customHeight="1">
      <x:c r="A83" s="43" t="str">
        <x:v>PACK-0082</x:v>
      </x:c>
      <x:c r="B83" s="43" t="str">
        <x:v>EST-017</x:v>
      </x:c>
      <x:c r="C83" s="43" t="str">
        <x:v>Desayuno completo</x:v>
      </x:c>
      <x:c r="D83" s="43" t="str">
        <x:v>Una selección sorpresa preparada con excedentes del día. El contenido puede variar según disponibilidad.</x:v>
      </x:c>
      <x:c r="E83" s="43" t="str">
        <x:v>breakfast</x:v>
      </x:c>
      <x:c r="F83" s="48" t="n">
        <x:v>900</x:v>
      </x:c>
      <x:c r="G83" s="48" t="n">
        <x:v>360</x:v>
      </x:c>
      <x:c r="H83" s="48" t="n">
        <x:v>8</x:v>
      </x:c>
      <x:c r="I83" s="48" t="n">
        <x:v>7</x:v>
      </x:c>
      <x:c r="J83" s="43" t="n">
        <x:v>10</x:v>
      </x:c>
      <x:c r="K83" s="43" t="n">
        <x:v>12</x:v>
      </x:c>
      <x:c r="L83" s="43" t="str">
        <x:v>18:30</x:v>
      </x:c>
      <x:c r="M83" s="43" t="str">
        <x:v>20:00</x:v>
      </x:c>
      <x:c r="N83" s="43" t="str"/>
      <x:c r="O83" s="43" t="str">
        <x:v>gluten|milk</x:v>
      </x:c>
      <x:c r="P83" s="43" t="str">
        <x:v>https://images.unsplash.com/photo-1495474472287-4d71bcdd2085?auto=format&amp;fit=crop&amp;w=1000&amp;q=80</x:v>
      </x:c>
      <x:c r="Q83" s="43" t="str">
        <x:v>available</x:v>
      </x:c>
      <x:c r="R83" s="44" t="b">
        <x:v>0</x:v>
      </x:c>
      <x:c r="S83" s="43" t="n">
        <x:v>625</x:v>
      </x:c>
      <x:c r="T83" s="43" t="n">
        <x:v>1080</x:v>
      </x:c>
    </x:row>
    <x:row r="84" ht="22" customHeight="1">
      <x:c r="A84" s="43" t="str">
        <x:v>PACK-0083</x:v>
      </x:c>
      <x:c r="B84" s="43" t="str">
        <x:v>EST-017</x:v>
      </x:c>
      <x:c r="C84" s="43" t="str">
        <x:v>Sabores veganos del día</x:v>
      </x:c>
      <x:c r="D84" s="43" t="str">
        <x:v>Una selección sorpresa preparada con excedentes del día. El contenido puede variar según disponibilidad.</x:v>
      </x:c>
      <x:c r="E84" s="43" t="str">
        <x:v>vegan</x:v>
      </x:c>
      <x:c r="F84" s="48" t="n">
        <x:v>1025</x:v>
      </x:c>
      <x:c r="G84" s="48" t="n">
        <x:v>461</x:v>
      </x:c>
      <x:c r="H84" s="48" t="n">
        <x:v>9</x:v>
      </x:c>
      <x:c r="I84" s="48" t="n">
        <x:v>0</x:v>
      </x:c>
      <x:c r="J84" s="43" t="n">
        <x:v>11</x:v>
      </x:c>
      <x:c r="K84" s="43" t="n">
        <x:v>13</x:v>
      </x:c>
      <x:c r="L84" s="43" t="str">
        <x:v>19:00</x:v>
      </x:c>
      <x:c r="M84" s="43" t="str">
        <x:v>21:00</x:v>
      </x:c>
      <x:c r="N84" s="43" t="str">
        <x:v>vegan|vegetarian</x:v>
      </x:c>
      <x:c r="O84" s="43" t="str">
        <x:v>nuts|soy</x:v>
      </x:c>
      <x:c r="P84" s="43" t="str">
        <x:v>https://images.unsplash.com/photo-1540420773420-3366772f4999?auto=format&amp;fit=crop&amp;w=1000&amp;q=80</x:v>
      </x:c>
      <x:c r="Q84" s="43" t="str">
        <x:v>sold_out</x:v>
      </x:c>
      <x:c r="R84" s="44" t="b">
        <x:v>0</x:v>
      </x:c>
      <x:c r="S84" s="43" t="n">
        <x:v>750</x:v>
      </x:c>
      <x:c r="T84" s="43" t="n">
        <x:v>1260</x:v>
      </x:c>
    </x:row>
    <x:row r="85" ht="22" customHeight="1">
      <x:c r="A85" s="43" t="str">
        <x:v>PACK-0084</x:v>
      </x:c>
      <x:c r="B85" s="43" t="str">
        <x:v>EST-017</x:v>
      </x:c>
      <x:c r="C85" s="43" t="str">
        <x:v>Lote ahorro del día</x:v>
      </x:c>
      <x:c r="D85" s="43" t="str">
        <x:v>Una selección sorpresa preparada con excedentes del día. El contenido puede variar según disponibilidad.</x:v>
      </x:c>
      <x:c r="E85" s="43" t="str">
        <x:v>mixed</x:v>
      </x:c>
      <x:c r="F85" s="48" t="n">
        <x:v>1150</x:v>
      </x:c>
      <x:c r="G85" s="48" t="n">
        <x:v>575</x:v>
      </x:c>
      <x:c r="H85" s="48" t="n">
        <x:v>10</x:v>
      </x:c>
      <x:c r="I85" s="48" t="n">
        <x:v>9</x:v>
      </x:c>
      <x:c r="J85" s="43" t="n">
        <x:v>-7</x:v>
      </x:c>
      <x:c r="K85" s="43" t="n">
        <x:v>-5</x:v>
      </x:c>
      <x:c r="L85" s="43" t="str">
        <x:v>18:30</x:v>
      </x:c>
      <x:c r="M85" s="43" t="str">
        <x:v>20:00</x:v>
      </x:c>
      <x:c r="N85" s="43" t="str"/>
      <x:c r="O85" s="43" t="str">
        <x:v>gluten|milk|nuts</x:v>
      </x:c>
      <x:c r="P85" s="43" t="str">
        <x:v>https://images.unsplash.com/photo-1565299624946-b28f40a0ae38?auto=format&amp;fit=crop&amp;w=1000&amp;q=80</x:v>
      </x:c>
      <x:c r="Q85" s="43" t="str">
        <x:v>expired</x:v>
      </x:c>
      <x:c r="R85" s="44" t="b">
        <x:v>0</x:v>
      </x:c>
      <x:c r="S85" s="43" t="n">
        <x:v>875</x:v>
      </x:c>
      <x:c r="T85" s="43" t="n">
        <x:v>1440</x:v>
      </x:c>
    </x:row>
    <x:row r="86" ht="22" customHeight="1">
      <x:c r="A86" s="43" t="str">
        <x:v>PACK-0085</x:v>
      </x:c>
      <x:c r="B86" s="43" t="str">
        <x:v>EST-017</x:v>
      </x:c>
      <x:c r="C86" s="43" t="str">
        <x:v>Pack de pan artesano</x:v>
      </x:c>
      <x:c r="D86" s="43" t="str">
        <x:v>Una selección sorpresa preparada con excedentes del día. El contenido puede variar según disponibilidad.</x:v>
      </x:c>
      <x:c r="E86" s="43" t="str">
        <x:v>bakery</x:v>
      </x:c>
      <x:c r="F86" s="48" t="n">
        <x:v>1275</x:v>
      </x:c>
      <x:c r="G86" s="48" t="n">
        <x:v>446</x:v>
      </x:c>
      <x:c r="H86" s="48" t="n">
        <x:v>4</x:v>
      </x:c>
      <x:c r="I86" s="48" t="n">
        <x:v>3</x:v>
      </x:c>
      <x:c r="J86" s="43" t="n">
        <x:v>-8</x:v>
      </x:c>
      <x:c r="K86" s="43" t="n">
        <x:v>-6</x:v>
      </x:c>
      <x:c r="L86" s="43" t="str">
        <x:v>19:00</x:v>
      </x:c>
      <x:c r="M86" s="43" t="str">
        <x:v>21:00</x:v>
      </x:c>
      <x:c r="N86" s="43" t="str"/>
      <x:c r="O86" s="43" t="str">
        <x:v>gluten|milk|egg</x:v>
      </x:c>
      <x:c r="P86" s="43" t="str">
        <x:v>https://images.unsplash.com/photo-1509440159596-0249088772ff?auto=format&amp;fit=crop&amp;w=1000&amp;q=80</x:v>
      </x:c>
      <x:c r="Q86" s="43" t="str">
        <x:v>expired</x:v>
      </x:c>
      <x:c r="R86" s="44" t="b">
        <x:v>0</x:v>
      </x:c>
      <x:c r="S86" s="43" t="n">
        <x:v>1000</x:v>
      </x:c>
      <x:c r="T86" s="43" t="n">
        <x:v>1620</x:v>
      </x:c>
    </x:row>
    <x:row r="87" ht="22" customHeight="1">
      <x:c r="A87" s="43" t="str">
        <x:v>PACK-0086</x:v>
      </x:c>
      <x:c r="B87" s="43" t="str">
        <x:v>EST-018</x:v>
      </x:c>
      <x:c r="C87" s="43" t="str">
        <x:v>Platos listos para disfrutar</x:v>
      </x:c>
      <x:c r="D87" s="43" t="str">
        <x:v>Una selección sorpresa preparada con excedentes del día. El contenido puede variar según disponibilidad.</x:v>
      </x:c>
      <x:c r="E87" s="43" t="str">
        <x:v>prepared_food</x:v>
      </x:c>
      <x:c r="F87" s="48" t="n">
        <x:v>1400</x:v>
      </x:c>
      <x:c r="G87" s="48" t="n">
        <x:v>560</x:v>
      </x:c>
      <x:c r="H87" s="48" t="n">
        <x:v>5</x:v>
      </x:c>
      <x:c r="I87" s="48" t="n">
        <x:v>4</x:v>
      </x:c>
      <x:c r="J87" s="43" t="n">
        <x:v>0</x:v>
      </x:c>
      <x:c r="K87" s="43" t="n">
        <x:v>2</x:v>
      </x:c>
      <x:c r="L87" s="43" t="str">
        <x:v>19:00</x:v>
      </x:c>
      <x:c r="M87" s="43" t="str">
        <x:v>21:00</x:v>
      </x:c>
      <x:c r="N87" s="43" t="str"/>
      <x:c r="O87" s="43" t="str">
        <x:v>gluten|soy</x:v>
      </x:c>
      <x:c r="P87" s="43" t="str">
        <x:v>https://images.unsplash.com/photo-1542838132-92c53300491e?auto=format&amp;fit=crop&amp;w=1000&amp;q=80</x:v>
      </x:c>
      <x:c r="Q87" s="43" t="str">
        <x:v>available</x:v>
      </x:c>
      <x:c r="R87" s="44" t="b">
        <x:v>0</x:v>
      </x:c>
      <x:c r="S87" s="43" t="n">
        <x:v>1125</x:v>
      </x:c>
      <x:c r="T87" s="43" t="n">
        <x:v>1800</x:v>
      </x:c>
    </x:row>
    <x:row r="88" ht="22" customHeight="1">
      <x:c r="A88" s="43" t="str">
        <x:v>PACK-0087</x:v>
      </x:c>
      <x:c r="B88" s="43" t="str">
        <x:v>EST-018</x:v>
      </x:c>
      <x:c r="C88" s="43" t="str">
        <x:v>Caja verde de aprovechamiento</x:v>
      </x:c>
      <x:c r="D88" s="43" t="str">
        <x:v>Una selección sorpresa preparada con excedentes del día. El contenido puede variar según disponibilidad.</x:v>
      </x:c>
      <x:c r="E88" s="43" t="str">
        <x:v>produce</x:v>
      </x:c>
      <x:c r="F88" s="48" t="n">
        <x:v>1525</x:v>
      </x:c>
      <x:c r="G88" s="48" t="n">
        <x:v>686</x:v>
      </x:c>
      <x:c r="H88" s="48" t="n">
        <x:v>6</x:v>
      </x:c>
      <x:c r="I88" s="48" t="n">
        <x:v>5</x:v>
      </x:c>
      <x:c r="J88" s="43" t="n">
        <x:v>1</x:v>
      </x:c>
      <x:c r="K88" s="43" t="n">
        <x:v>3</x:v>
      </x:c>
      <x:c r="L88" s="43" t="str">
        <x:v>18:30</x:v>
      </x:c>
      <x:c r="M88" s="43" t="str">
        <x:v>20:00</x:v>
      </x:c>
      <x:c r="N88" s="43" t="str">
        <x:v>vegan|vegetarian|gluten_free</x:v>
      </x:c>
      <x:c r="O88" s="43" t="str"/>
      <x:c r="P88" s="43" t="str">
        <x:v>https://images.unsplash.com/photo-1547592180-85f173990554?auto=format&amp;fit=crop&amp;w=1000&amp;q=80</x:v>
      </x:c>
      <x:c r="Q88" s="43" t="str">
        <x:v>available</x:v>
      </x:c>
      <x:c r="R88" s="44" t="b">
        <x:v>0</x:v>
      </x:c>
      <x:c r="S88" s="43" t="n">
        <x:v>1250</x:v>
      </x:c>
      <x:c r="T88" s="43" t="n">
        <x:v>1980</x:v>
      </x:c>
    </x:row>
    <x:row r="89" ht="22" customHeight="1">
      <x:c r="A89" s="43" t="str">
        <x:v>PACK-0088</x:v>
      </x:c>
      <x:c r="B89" s="43" t="str">
        <x:v>EST-018</x:v>
      </x:c>
      <x:c r="C89" s="43" t="str">
        <x:v>Desayuno completo</x:v>
      </x:c>
      <x:c r="D89" s="43" t="str">
        <x:v>Una selección sorpresa preparada con excedentes del día. El contenido puede variar según disponibilidad.</x:v>
      </x:c>
      <x:c r="E89" s="43" t="str">
        <x:v>breakfast</x:v>
      </x:c>
      <x:c r="F89" s="48" t="n">
        <x:v>1650</x:v>
      </x:c>
      <x:c r="G89" s="48" t="n">
        <x:v>825</x:v>
      </x:c>
      <x:c r="H89" s="48" t="n">
        <x:v>7</x:v>
      </x:c>
      <x:c r="I89" s="48" t="n">
        <x:v>0</x:v>
      </x:c>
      <x:c r="J89" s="43" t="n">
        <x:v>2</x:v>
      </x:c>
      <x:c r="K89" s="43" t="n">
        <x:v>4</x:v>
      </x:c>
      <x:c r="L89" s="43" t="str">
        <x:v>19:00</x:v>
      </x:c>
      <x:c r="M89" s="43" t="str">
        <x:v>21:00</x:v>
      </x:c>
      <x:c r="N89" s="43" t="str"/>
      <x:c r="O89" s="43" t="str">
        <x:v>gluten|milk</x:v>
      </x:c>
      <x:c r="P89" s="43" t="str">
        <x:v>https://images.unsplash.com/photo-1495474472287-4d71bcdd2085?auto=format&amp;fit=crop&amp;w=1000&amp;q=80</x:v>
      </x:c>
      <x:c r="Q89" s="43" t="str">
        <x:v>sold_out</x:v>
      </x:c>
      <x:c r="R89" s="44" t="b">
        <x:v>0</x:v>
      </x:c>
      <x:c r="S89" s="43" t="n">
        <x:v>1375</x:v>
      </x:c>
      <x:c r="T89" s="43" t="n">
        <x:v>2160</x:v>
      </x:c>
    </x:row>
    <x:row r="90" ht="22" customHeight="1">
      <x:c r="A90" s="43" t="str">
        <x:v>PACK-0089</x:v>
      </x:c>
      <x:c r="B90" s="43" t="str">
        <x:v>EST-018</x:v>
      </x:c>
      <x:c r="C90" s="43" t="str">
        <x:v>Sabores veganos del día</x:v>
      </x:c>
      <x:c r="D90" s="43" t="str">
        <x:v>Una selección sorpresa preparada con excedentes del día. El contenido puede variar según disponibilidad.</x:v>
      </x:c>
      <x:c r="E90" s="43" t="str">
        <x:v>vegan</x:v>
      </x:c>
      <x:c r="F90" s="48" t="n">
        <x:v>1775</x:v>
      </x:c>
      <x:c r="G90" s="48" t="n">
        <x:v>621</x:v>
      </x:c>
      <x:c r="H90" s="48" t="n">
        <x:v>8</x:v>
      </x:c>
      <x:c r="I90" s="48" t="n">
        <x:v>7</x:v>
      </x:c>
      <x:c r="J90" s="43" t="n">
        <x:v>-12</x:v>
      </x:c>
      <x:c r="K90" s="43" t="n">
        <x:v>-10</x:v>
      </x:c>
      <x:c r="L90" s="43" t="str">
        <x:v>18:30</x:v>
      </x:c>
      <x:c r="M90" s="43" t="str">
        <x:v>20:00</x:v>
      </x:c>
      <x:c r="N90" s="43" t="str">
        <x:v>vegan|vegetarian</x:v>
      </x:c>
      <x:c r="O90" s="43" t="str">
        <x:v>nuts|soy</x:v>
      </x:c>
      <x:c r="P90" s="43" t="str">
        <x:v>https://images.unsplash.com/photo-1540420773420-3366772f4999?auto=format&amp;fit=crop&amp;w=1000&amp;q=80</x:v>
      </x:c>
      <x:c r="Q90" s="43" t="str">
        <x:v>expired</x:v>
      </x:c>
      <x:c r="R90" s="44" t="b">
        <x:v>0</x:v>
      </x:c>
      <x:c r="S90" s="43" t="n">
        <x:v>500</x:v>
      </x:c>
      <x:c r="T90" s="43" t="n">
        <x:v>2340</x:v>
      </x:c>
    </x:row>
    <x:row r="91" ht="22" customHeight="1">
      <x:c r="A91" s="43" t="str">
        <x:v>PACK-0090</x:v>
      </x:c>
      <x:c r="B91" s="43" t="str">
        <x:v>EST-018</x:v>
      </x:c>
      <x:c r="C91" s="43" t="str">
        <x:v>Lote ahorro del día</x:v>
      </x:c>
      <x:c r="D91" s="43" t="str">
        <x:v>Una selección sorpresa preparada con excedentes del día. El contenido puede variar según disponibilidad.</x:v>
      </x:c>
      <x:c r="E91" s="43" t="str">
        <x:v>mixed</x:v>
      </x:c>
      <x:c r="F91" s="48" t="n">
        <x:v>1900</x:v>
      </x:c>
      <x:c r="G91" s="48" t="n">
        <x:v>760</x:v>
      </x:c>
      <x:c r="H91" s="48" t="n">
        <x:v>9</x:v>
      </x:c>
      <x:c r="I91" s="48" t="n">
        <x:v>8</x:v>
      </x:c>
      <x:c r="J91" s="43" t="n">
        <x:v>-13</x:v>
      </x:c>
      <x:c r="K91" s="43" t="n">
        <x:v>-11</x:v>
      </x:c>
      <x:c r="L91" s="43" t="str">
        <x:v>19:00</x:v>
      </x:c>
      <x:c r="M91" s="43" t="str">
        <x:v>21:00</x:v>
      </x:c>
      <x:c r="N91" s="43" t="str"/>
      <x:c r="O91" s="43" t="str">
        <x:v>gluten|milk|nuts</x:v>
      </x:c>
      <x:c r="P91" s="43" t="str">
        <x:v>https://images.unsplash.com/photo-1565299624946-b28f40a0ae38?auto=format&amp;fit=crop&amp;w=1000&amp;q=80</x:v>
      </x:c>
      <x:c r="Q91" s="43" t="str">
        <x:v>expired</x:v>
      </x:c>
      <x:c r="R91" s="44" t="b">
        <x:v>0</x:v>
      </x:c>
      <x:c r="S91" s="43" t="n">
        <x:v>625</x:v>
      </x:c>
      <x:c r="T91" s="43" t="n">
        <x:v>2520</x:v>
      </x:c>
    </x:row>
    <x:row r="92" ht="22" customHeight="1">
      <x:c r="A92" s="43" t="str">
        <x:v>PACK-0091</x:v>
      </x:c>
      <x:c r="B92" s="43" t="str">
        <x:v>EST-019</x:v>
      </x:c>
      <x:c r="C92" s="43" t="str">
        <x:v>Pack de pan artesano</x:v>
      </x:c>
      <x:c r="D92" s="43" t="str">
        <x:v>Una selección sorpresa preparada con excedentes del día. El contenido puede variar según disponibilidad.</x:v>
      </x:c>
      <x:c r="E92" s="43" t="str">
        <x:v>bakery</x:v>
      </x:c>
      <x:c r="F92" s="48" t="n">
        <x:v>900</x:v>
      </x:c>
      <x:c r="G92" s="48" t="n">
        <x:v>405</x:v>
      </x:c>
      <x:c r="H92" s="48" t="n">
        <x:v>10</x:v>
      </x:c>
      <x:c r="I92" s="48" t="n">
        <x:v>9</x:v>
      </x:c>
      <x:c r="J92" s="43" t="n">
        <x:v>5</x:v>
      </x:c>
      <x:c r="K92" s="43" t="n">
        <x:v>7</x:v>
      </x:c>
      <x:c r="L92" s="43" t="str">
        <x:v>19:00</x:v>
      </x:c>
      <x:c r="M92" s="43" t="str">
        <x:v>21:00</x:v>
      </x:c>
      <x:c r="N92" s="43" t="str"/>
      <x:c r="O92" s="43" t="str">
        <x:v>gluten|milk|egg</x:v>
      </x:c>
      <x:c r="P92" s="43" t="str">
        <x:v>https://images.unsplash.com/photo-1509440159596-0249088772ff?auto=format&amp;fit=crop&amp;w=1000&amp;q=80</x:v>
      </x:c>
      <x:c r="Q92" s="43" t="str">
        <x:v>available</x:v>
      </x:c>
      <x:c r="R92" s="44" t="b">
        <x:v>0</x:v>
      </x:c>
      <x:c r="S92" s="43" t="n">
        <x:v>750</x:v>
      </x:c>
      <x:c r="T92" s="43" t="n">
        <x:v>900</x:v>
      </x:c>
    </x:row>
    <x:row r="93" ht="22" customHeight="1">
      <x:c r="A93" s="43" t="str">
        <x:v>PACK-0092</x:v>
      </x:c>
      <x:c r="B93" s="43" t="str">
        <x:v>EST-019</x:v>
      </x:c>
      <x:c r="C93" s="43" t="str">
        <x:v>Platos listos para disfrutar</x:v>
      </x:c>
      <x:c r="D93" s="43" t="str">
        <x:v>Una selección sorpresa preparada con excedentes del día. El contenido puede variar según disponibilidad.</x:v>
      </x:c>
      <x:c r="E93" s="43" t="str">
        <x:v>prepared_food</x:v>
      </x:c>
      <x:c r="F93" s="48" t="n">
        <x:v>1025</x:v>
      </x:c>
      <x:c r="G93" s="48" t="n">
        <x:v>513</x:v>
      </x:c>
      <x:c r="H93" s="48" t="n">
        <x:v>4</x:v>
      </x:c>
      <x:c r="I93" s="48" t="n">
        <x:v>3</x:v>
      </x:c>
      <x:c r="J93" s="43" t="n">
        <x:v>6</x:v>
      </x:c>
      <x:c r="K93" s="43" t="n">
        <x:v>8</x:v>
      </x:c>
      <x:c r="L93" s="43" t="str">
        <x:v>18:30</x:v>
      </x:c>
      <x:c r="M93" s="43" t="str">
        <x:v>20:00</x:v>
      </x:c>
      <x:c r="N93" s="43" t="str"/>
      <x:c r="O93" s="43" t="str">
        <x:v>gluten|soy</x:v>
      </x:c>
      <x:c r="P93" s="43" t="str">
        <x:v>https://images.unsplash.com/photo-1542838132-92c53300491e?auto=format&amp;fit=crop&amp;w=1000&amp;q=80</x:v>
      </x:c>
      <x:c r="Q93" s="43" t="str">
        <x:v>available</x:v>
      </x:c>
      <x:c r="R93" s="44" t="b">
        <x:v>1</x:v>
      </x:c>
      <x:c r="S93" s="43" t="n">
        <x:v>875</x:v>
      </x:c>
      <x:c r="T93" s="43" t="n">
        <x:v>1080</x:v>
      </x:c>
    </x:row>
    <x:row r="94" ht="22" customHeight="1">
      <x:c r="A94" s="43" t="str">
        <x:v>PACK-0093</x:v>
      </x:c>
      <x:c r="B94" s="43" t="str">
        <x:v>EST-019</x:v>
      </x:c>
      <x:c r="C94" s="43" t="str">
        <x:v>Caja verde de aprovechamiento</x:v>
      </x:c>
      <x:c r="D94" s="43" t="str">
        <x:v>Una selección sorpresa preparada con excedentes del día. El contenido puede variar según disponibilidad.</x:v>
      </x:c>
      <x:c r="E94" s="43" t="str">
        <x:v>produce</x:v>
      </x:c>
      <x:c r="F94" s="48" t="n">
        <x:v>1150</x:v>
      </x:c>
      <x:c r="G94" s="48" t="n">
        <x:v>403</x:v>
      </x:c>
      <x:c r="H94" s="48" t="n">
        <x:v>5</x:v>
      </x:c>
      <x:c r="I94" s="48" t="n">
        <x:v>0</x:v>
      </x:c>
      <x:c r="J94" s="43" t="n">
        <x:v>7</x:v>
      </x:c>
      <x:c r="K94" s="43" t="n">
        <x:v>9</x:v>
      </x:c>
      <x:c r="L94" s="43" t="str">
        <x:v>19:00</x:v>
      </x:c>
      <x:c r="M94" s="43" t="str">
        <x:v>21:00</x:v>
      </x:c>
      <x:c r="N94" s="43" t="str">
        <x:v>vegan|vegetarian|gluten_free</x:v>
      </x:c>
      <x:c r="O94" s="43" t="str"/>
      <x:c r="P94" s="43" t="str">
        <x:v>https://images.unsplash.com/photo-1547592180-85f173990554?auto=format&amp;fit=crop&amp;w=1000&amp;q=80</x:v>
      </x:c>
      <x:c r="Q94" s="43" t="str">
        <x:v>sold_out</x:v>
      </x:c>
      <x:c r="R94" s="44" t="b">
        <x:v>0</x:v>
      </x:c>
      <x:c r="S94" s="43" t="n">
        <x:v>1000</x:v>
      </x:c>
      <x:c r="T94" s="43" t="n">
        <x:v>1260</x:v>
      </x:c>
    </x:row>
    <x:row r="95" ht="22" customHeight="1">
      <x:c r="A95" s="43" t="str">
        <x:v>PACK-0094</x:v>
      </x:c>
      <x:c r="B95" s="43" t="str">
        <x:v>EST-019</x:v>
      </x:c>
      <x:c r="C95" s="43" t="str">
        <x:v>Desayuno completo</x:v>
      </x:c>
      <x:c r="D95" s="43" t="str">
        <x:v>Una selección sorpresa preparada con excedentes del día. El contenido puede variar según disponibilidad.</x:v>
      </x:c>
      <x:c r="E95" s="43" t="str">
        <x:v>breakfast</x:v>
      </x:c>
      <x:c r="F95" s="48" t="n">
        <x:v>1275</x:v>
      </x:c>
      <x:c r="G95" s="48" t="n">
        <x:v>510</x:v>
      </x:c>
      <x:c r="H95" s="48" t="n">
        <x:v>6</x:v>
      </x:c>
      <x:c r="I95" s="48" t="n">
        <x:v>5</x:v>
      </x:c>
      <x:c r="J95" s="43" t="n">
        <x:v>-17</x:v>
      </x:c>
      <x:c r="K95" s="43" t="n">
        <x:v>-15</x:v>
      </x:c>
      <x:c r="L95" s="43" t="str">
        <x:v>18:30</x:v>
      </x:c>
      <x:c r="M95" s="43" t="str">
        <x:v>20:00</x:v>
      </x:c>
      <x:c r="N95" s="43" t="str"/>
      <x:c r="O95" s="43" t="str">
        <x:v>gluten|milk</x:v>
      </x:c>
      <x:c r="P95" s="43" t="str">
        <x:v>https://images.unsplash.com/photo-1495474472287-4d71bcdd2085?auto=format&amp;fit=crop&amp;w=1000&amp;q=80</x:v>
      </x:c>
      <x:c r="Q95" s="43" t="str">
        <x:v>expired</x:v>
      </x:c>
      <x:c r="R95" s="44" t="b">
        <x:v>0</x:v>
      </x:c>
      <x:c r="S95" s="43" t="n">
        <x:v>1125</x:v>
      </x:c>
      <x:c r="T95" s="43" t="n">
        <x:v>1440</x:v>
      </x:c>
    </x:row>
    <x:row r="96" ht="22" customHeight="1">
      <x:c r="A96" s="43" t="str">
        <x:v>PACK-0095</x:v>
      </x:c>
      <x:c r="B96" s="43" t="str">
        <x:v>EST-019</x:v>
      </x:c>
      <x:c r="C96" s="43" t="str">
        <x:v>Sabores veganos del día</x:v>
      </x:c>
      <x:c r="D96" s="43" t="str">
        <x:v>Una selección sorpresa preparada con excedentes del día. El contenido puede variar según disponibilidad.</x:v>
      </x:c>
      <x:c r="E96" s="43" t="str">
        <x:v>vegan</x:v>
      </x:c>
      <x:c r="F96" s="48" t="n">
        <x:v>1400</x:v>
      </x:c>
      <x:c r="G96" s="48" t="n">
        <x:v>630</x:v>
      </x:c>
      <x:c r="H96" s="48" t="n">
        <x:v>7</x:v>
      </x:c>
      <x:c r="I96" s="48" t="n">
        <x:v>6</x:v>
      </x:c>
      <x:c r="J96" s="43" t="n">
        <x:v>-18</x:v>
      </x:c>
      <x:c r="K96" s="43" t="n">
        <x:v>-16</x:v>
      </x:c>
      <x:c r="L96" s="43" t="str">
        <x:v>19:00</x:v>
      </x:c>
      <x:c r="M96" s="43" t="str">
        <x:v>21:00</x:v>
      </x:c>
      <x:c r="N96" s="43" t="str">
        <x:v>vegan|vegetarian</x:v>
      </x:c>
      <x:c r="O96" s="43" t="str">
        <x:v>nuts|soy</x:v>
      </x:c>
      <x:c r="P96" s="43" t="str">
        <x:v>https://images.unsplash.com/photo-1540420773420-3366772f4999?auto=format&amp;fit=crop&amp;w=1000&amp;q=80</x:v>
      </x:c>
      <x:c r="Q96" s="43" t="str">
        <x:v>expired</x:v>
      </x:c>
      <x:c r="R96" s="44" t="b">
        <x:v>0</x:v>
      </x:c>
      <x:c r="S96" s="43" t="n">
        <x:v>1250</x:v>
      </x:c>
      <x:c r="T96" s="43" t="n">
        <x:v>1620</x:v>
      </x:c>
    </x:row>
    <x:row r="97" ht="22" customHeight="1">
      <x:c r="A97" s="43" t="str">
        <x:v>PACK-0096</x:v>
      </x:c>
      <x:c r="B97" s="43" t="str">
        <x:v>EST-020</x:v>
      </x:c>
      <x:c r="C97" s="43" t="str">
        <x:v>Lote ahorro del día</x:v>
      </x:c>
      <x:c r="D97" s="43" t="str">
        <x:v>Una selección sorpresa preparada con excedentes del día. El contenido puede variar según disponibilidad.</x:v>
      </x:c>
      <x:c r="E97" s="43" t="str">
        <x:v>mixed</x:v>
      </x:c>
      <x:c r="F97" s="48" t="n">
        <x:v>1525</x:v>
      </x:c>
      <x:c r="G97" s="48" t="n">
        <x:v>763</x:v>
      </x:c>
      <x:c r="H97" s="48" t="n">
        <x:v>8</x:v>
      </x:c>
      <x:c r="I97" s="48" t="n">
        <x:v>7</x:v>
      </x:c>
      <x:c r="J97" s="43" t="n">
        <x:v>10</x:v>
      </x:c>
      <x:c r="K97" s="43" t="n">
        <x:v>12</x:v>
      </x:c>
      <x:c r="L97" s="43" t="str">
        <x:v>19:00</x:v>
      </x:c>
      <x:c r="M97" s="43" t="str">
        <x:v>21:00</x:v>
      </x:c>
      <x:c r="N97" s="43" t="str"/>
      <x:c r="O97" s="43" t="str">
        <x:v>gluten|milk|nuts</x:v>
      </x:c>
      <x:c r="P97" s="43" t="str">
        <x:v>https://images.unsplash.com/photo-1565299624946-b28f40a0ae38?auto=format&amp;fit=crop&amp;w=1000&amp;q=80</x:v>
      </x:c>
      <x:c r="Q97" s="43" t="str">
        <x:v>available</x:v>
      </x:c>
      <x:c r="R97" s="44" t="b">
        <x:v>0</x:v>
      </x:c>
      <x:c r="S97" s="43" t="n">
        <x:v>1375</x:v>
      </x:c>
      <x:c r="T97" s="43" t="n">
        <x:v>1800</x:v>
      </x:c>
    </x:row>
    <x:row r="98" ht="22" customHeight="1">
      <x:c r="A98" s="43" t="str">
        <x:v>PACK-0097</x:v>
      </x:c>
      <x:c r="B98" s="43" t="str">
        <x:v>EST-020</x:v>
      </x:c>
      <x:c r="C98" s="43" t="str">
        <x:v>Pack de pan artesano</x:v>
      </x:c>
      <x:c r="D98" s="43" t="str">
        <x:v>Una selección sorpresa preparada con excedentes del día. El contenido puede variar según disponibilidad.</x:v>
      </x:c>
      <x:c r="E98" s="43" t="str">
        <x:v>bakery</x:v>
      </x:c>
      <x:c r="F98" s="48" t="n">
        <x:v>1650</x:v>
      </x:c>
      <x:c r="G98" s="48" t="n">
        <x:v>578</x:v>
      </x:c>
      <x:c r="H98" s="48" t="n">
        <x:v>9</x:v>
      </x:c>
      <x:c r="I98" s="48" t="n">
        <x:v>8</x:v>
      </x:c>
      <x:c r="J98" s="43" t="n">
        <x:v>11</x:v>
      </x:c>
      <x:c r="K98" s="43" t="n">
        <x:v>13</x:v>
      </x:c>
      <x:c r="L98" s="43" t="str">
        <x:v>18:30</x:v>
      </x:c>
      <x:c r="M98" s="43" t="str">
        <x:v>20:00</x:v>
      </x:c>
      <x:c r="N98" s="43" t="str"/>
      <x:c r="O98" s="43" t="str">
        <x:v>gluten|milk|egg</x:v>
      </x:c>
      <x:c r="P98" s="43" t="str">
        <x:v>https://images.unsplash.com/photo-1509440159596-0249088772ff?auto=format&amp;fit=crop&amp;w=1000&amp;q=80</x:v>
      </x:c>
      <x:c r="Q98" s="43" t="str">
        <x:v>available</x:v>
      </x:c>
      <x:c r="R98" s="44" t="b">
        <x:v>0</x:v>
      </x:c>
      <x:c r="S98" s="43" t="n">
        <x:v>500</x:v>
      </x:c>
      <x:c r="T98" s="43" t="n">
        <x:v>1980</x:v>
      </x:c>
    </x:row>
    <x:row r="99" ht="22" customHeight="1">
      <x:c r="A99" s="43" t="str">
        <x:v>PACK-0098</x:v>
      </x:c>
      <x:c r="B99" s="43" t="str">
        <x:v>EST-020</x:v>
      </x:c>
      <x:c r="C99" s="43" t="str">
        <x:v>Platos listos para disfrutar</x:v>
      </x:c>
      <x:c r="D99" s="43" t="str">
        <x:v>Una selección sorpresa preparada con excedentes del día. El contenido puede variar según disponibilidad.</x:v>
      </x:c>
      <x:c r="E99" s="43" t="str">
        <x:v>prepared_food</x:v>
      </x:c>
      <x:c r="F99" s="48" t="n">
        <x:v>1775</x:v>
      </x:c>
      <x:c r="G99" s="48" t="n">
        <x:v>710</x:v>
      </x:c>
      <x:c r="H99" s="48" t="n">
        <x:v>10</x:v>
      </x:c>
      <x:c r="I99" s="48" t="n">
        <x:v>0</x:v>
      </x:c>
      <x:c r="J99" s="43" t="n">
        <x:v>12</x:v>
      </x:c>
      <x:c r="K99" s="43" t="n">
        <x:v>14</x:v>
      </x:c>
      <x:c r="L99" s="43" t="str">
        <x:v>19:00</x:v>
      </x:c>
      <x:c r="M99" s="43" t="str">
        <x:v>21:00</x:v>
      </x:c>
      <x:c r="N99" s="43" t="str"/>
      <x:c r="O99" s="43" t="str">
        <x:v>gluten|soy</x:v>
      </x:c>
      <x:c r="P99" s="43" t="str">
        <x:v>https://images.unsplash.com/photo-1542838132-92c53300491e?auto=format&amp;fit=crop&amp;w=1000&amp;q=80</x:v>
      </x:c>
      <x:c r="Q99" s="43" t="str">
        <x:v>sold_out</x:v>
      </x:c>
      <x:c r="R99" s="44" t="b">
        <x:v>0</x:v>
      </x:c>
      <x:c r="S99" s="43" t="n">
        <x:v>625</x:v>
      </x:c>
      <x:c r="T99" s="43" t="n">
        <x:v>2160</x:v>
      </x:c>
    </x:row>
    <x:row r="100" ht="22" customHeight="1">
      <x:c r="A100" s="43" t="str">
        <x:v>PACK-0099</x:v>
      </x:c>
      <x:c r="B100" s="43" t="str">
        <x:v>EST-020</x:v>
      </x:c>
      <x:c r="C100" s="43" t="str">
        <x:v>Caja verde de aprovechamiento</x:v>
      </x:c>
      <x:c r="D100" s="43" t="str">
        <x:v>Una selección sorpresa preparada con excedentes del día. El contenido puede variar según disponibilidad.</x:v>
      </x:c>
      <x:c r="E100" s="43" t="str">
        <x:v>produce</x:v>
      </x:c>
      <x:c r="F100" s="48" t="n">
        <x:v>1900</x:v>
      </x:c>
      <x:c r="G100" s="48" t="n">
        <x:v>855</x:v>
      </x:c>
      <x:c r="H100" s="48" t="n">
        <x:v>4</x:v>
      </x:c>
      <x:c r="I100" s="48" t="n">
        <x:v>3</x:v>
      </x:c>
      <x:c r="J100" s="43" t="n">
        <x:v>-22</x:v>
      </x:c>
      <x:c r="K100" s="43" t="n">
        <x:v>-20</x:v>
      </x:c>
      <x:c r="L100" s="43" t="str">
        <x:v>18:30</x:v>
      </x:c>
      <x:c r="M100" s="43" t="str">
        <x:v>20:00</x:v>
      </x:c>
      <x:c r="N100" s="43" t="str">
        <x:v>vegan|vegetarian|gluten_free</x:v>
      </x:c>
      <x:c r="O100" s="43" t="str"/>
      <x:c r="P100" s="43" t="str">
        <x:v>https://images.unsplash.com/photo-1547592180-85f173990554?auto=format&amp;fit=crop&amp;w=1000&amp;q=80</x:v>
      </x:c>
      <x:c r="Q100" s="43" t="str">
        <x:v>expired</x:v>
      </x:c>
      <x:c r="R100" s="44" t="b">
        <x:v>0</x:v>
      </x:c>
      <x:c r="S100" s="43" t="n">
        <x:v>750</x:v>
      </x:c>
      <x:c r="T100" s="43" t="n">
        <x:v>2340</x:v>
      </x:c>
    </x:row>
    <x:row r="101" ht="22" customHeight="1">
      <x:c r="A101" s="43" t="str">
        <x:v>PACK-0100</x:v>
      </x:c>
      <x:c r="B101" s="43" t="str">
        <x:v>EST-020</x:v>
      </x:c>
      <x:c r="C101" s="43" t="str">
        <x:v>Desayuno completo</x:v>
      </x:c>
      <x:c r="D101" s="43" t="str">
        <x:v>Una selección sorpresa preparada con excedentes del día. El contenido puede variar según disponibilidad.</x:v>
      </x:c>
      <x:c r="E101" s="43" t="str">
        <x:v>breakfast</x:v>
      </x:c>
      <x:c r="F101" s="48" t="n">
        <x:v>900</x:v>
      </x:c>
      <x:c r="G101" s="48" t="n">
        <x:v>450</x:v>
      </x:c>
      <x:c r="H101" s="48" t="n">
        <x:v>5</x:v>
      </x:c>
      <x:c r="I101" s="48" t="n">
        <x:v>4</x:v>
      </x:c>
      <x:c r="J101" s="43" t="n">
        <x:v>-23</x:v>
      </x:c>
      <x:c r="K101" s="43" t="n">
        <x:v>-21</x:v>
      </x:c>
      <x:c r="L101" s="43" t="str">
        <x:v>19:00</x:v>
      </x:c>
      <x:c r="M101" s="43" t="str">
        <x:v>21:00</x:v>
      </x:c>
      <x:c r="N101" s="43" t="str"/>
      <x:c r="O101" s="43" t="str">
        <x:v>gluten|milk</x:v>
      </x:c>
      <x:c r="P101" s="43" t="str">
        <x:v>https://images.unsplash.com/photo-1495474472287-4d71bcdd2085?auto=format&amp;fit=crop&amp;w=1000&amp;q=80</x:v>
      </x:c>
      <x:c r="Q101" s="43" t="str">
        <x:v>expired</x:v>
      </x:c>
      <x:c r="R101" s="44" t="b">
        <x:v>0</x:v>
      </x:c>
      <x:c r="S101" s="43" t="n">
        <x:v>875</x:v>
      </x:c>
      <x:c r="T101" s="43" t="n">
        <x:v>2520</x:v>
      </x:c>
    </x:row>
    <x:row r="102" ht="22" customHeight="1">
      <x:c r="A102" s="43" t="str">
        <x:v>PACK-0101</x:v>
      </x:c>
      <x:c r="B102" s="43" t="str">
        <x:v>EST-021</x:v>
      </x:c>
      <x:c r="C102" s="43" t="str">
        <x:v>Sabores veganos del día</x:v>
      </x:c>
      <x:c r="D102" s="43" t="str">
        <x:v>Una selección sorpresa preparada con excedentes del día. El contenido puede variar según disponibilidad.</x:v>
      </x:c>
      <x:c r="E102" s="43" t="str">
        <x:v>vegan</x:v>
      </x:c>
      <x:c r="F102" s="48" t="n">
        <x:v>1025</x:v>
      </x:c>
      <x:c r="G102" s="48" t="n">
        <x:v>359</x:v>
      </x:c>
      <x:c r="H102" s="48" t="n">
        <x:v>6</x:v>
      </x:c>
      <x:c r="I102" s="48" t="n">
        <x:v>5</x:v>
      </x:c>
      <x:c r="J102" s="43" t="n">
        <x:v>1</x:v>
      </x:c>
      <x:c r="K102" s="43" t="n">
        <x:v>3</x:v>
      </x:c>
      <x:c r="L102" s="43" t="str">
        <x:v>19:00</x:v>
      </x:c>
      <x:c r="M102" s="43" t="str">
        <x:v>21:00</x:v>
      </x:c>
      <x:c r="N102" s="43" t="str">
        <x:v>vegan|vegetarian</x:v>
      </x:c>
      <x:c r="O102" s="43" t="str">
        <x:v>nuts|soy</x:v>
      </x:c>
      <x:c r="P102" s="43" t="str">
        <x:v>https://images.unsplash.com/photo-1540420773420-3366772f4999?auto=format&amp;fit=crop&amp;w=1000&amp;q=80</x:v>
      </x:c>
      <x:c r="Q102" s="43" t="str">
        <x:v>available</x:v>
      </x:c>
      <x:c r="R102" s="44" t="b">
        <x:v>0</x:v>
      </x:c>
      <x:c r="S102" s="43" t="n">
        <x:v>1000</x:v>
      </x:c>
      <x:c r="T102" s="43" t="n">
        <x:v>900</x:v>
      </x:c>
    </x:row>
    <x:row r="103" ht="22" customHeight="1">
      <x:c r="A103" s="43" t="str">
        <x:v>PACK-0102</x:v>
      </x:c>
      <x:c r="B103" s="43" t="str">
        <x:v>EST-021</x:v>
      </x:c>
      <x:c r="C103" s="43" t="str">
        <x:v>Lote ahorro del día</x:v>
      </x:c>
      <x:c r="D103" s="43" t="str">
        <x:v>Una selección sorpresa preparada con excedentes del día. El contenido puede variar según disponibilidad.</x:v>
      </x:c>
      <x:c r="E103" s="43" t="str">
        <x:v>mixed</x:v>
      </x:c>
      <x:c r="F103" s="48" t="n">
        <x:v>1150</x:v>
      </x:c>
      <x:c r="G103" s="48" t="n">
        <x:v>460</x:v>
      </x:c>
      <x:c r="H103" s="48" t="n">
        <x:v>7</x:v>
      </x:c>
      <x:c r="I103" s="48" t="n">
        <x:v>6</x:v>
      </x:c>
      <x:c r="J103" s="43" t="n">
        <x:v>2</x:v>
      </x:c>
      <x:c r="K103" s="43" t="n">
        <x:v>4</x:v>
      </x:c>
      <x:c r="L103" s="43" t="str">
        <x:v>18:30</x:v>
      </x:c>
      <x:c r="M103" s="43" t="str">
        <x:v>20:00</x:v>
      </x:c>
      <x:c r="N103" s="43" t="str"/>
      <x:c r="O103" s="43" t="str">
        <x:v>gluten|milk|nuts</x:v>
      </x:c>
      <x:c r="P103" s="43" t="str">
        <x:v>https://images.unsplash.com/photo-1565299624946-b28f40a0ae38?auto=format&amp;fit=crop&amp;w=1000&amp;q=80</x:v>
      </x:c>
      <x:c r="Q103" s="43" t="str">
        <x:v>available</x:v>
      </x:c>
      <x:c r="R103" s="44" t="b">
        <x:v>0</x:v>
      </x:c>
      <x:c r="S103" s="43" t="n">
        <x:v>1125</x:v>
      </x:c>
      <x:c r="T103" s="43" t="n">
        <x:v>1080</x:v>
      </x:c>
    </x:row>
    <x:row r="104" ht="22" customHeight="1">
      <x:c r="A104" s="43" t="str">
        <x:v>PACK-0103</x:v>
      </x:c>
      <x:c r="B104" s="43" t="str">
        <x:v>EST-021</x:v>
      </x:c>
      <x:c r="C104" s="43" t="str">
        <x:v>Pack de pan artesano</x:v>
      </x:c>
      <x:c r="D104" s="43" t="str">
        <x:v>Una selección sorpresa preparada con excedentes del día. El contenido puede variar según disponibilidad.</x:v>
      </x:c>
      <x:c r="E104" s="43" t="str">
        <x:v>bakery</x:v>
      </x:c>
      <x:c r="F104" s="48" t="n">
        <x:v>1275</x:v>
      </x:c>
      <x:c r="G104" s="48" t="n">
        <x:v>574</x:v>
      </x:c>
      <x:c r="H104" s="48" t="n">
        <x:v>8</x:v>
      </x:c>
      <x:c r="I104" s="48" t="n">
        <x:v>0</x:v>
      </x:c>
      <x:c r="J104" s="43" t="n">
        <x:v>3</x:v>
      </x:c>
      <x:c r="K104" s="43" t="n">
        <x:v>5</x:v>
      </x:c>
      <x:c r="L104" s="43" t="str">
        <x:v>19:00</x:v>
      </x:c>
      <x:c r="M104" s="43" t="str">
        <x:v>21:00</x:v>
      </x:c>
      <x:c r="N104" s="43" t="str"/>
      <x:c r="O104" s="43" t="str">
        <x:v>gluten|milk|egg</x:v>
      </x:c>
      <x:c r="P104" s="43" t="str">
        <x:v>https://images.unsplash.com/photo-1509440159596-0249088772ff?auto=format&amp;fit=crop&amp;w=1000&amp;q=80</x:v>
      </x:c>
      <x:c r="Q104" s="43" t="str">
        <x:v>sold_out</x:v>
      </x:c>
      <x:c r="R104" s="44" t="b">
        <x:v>0</x:v>
      </x:c>
      <x:c r="S104" s="43" t="n">
        <x:v>1250</x:v>
      </x:c>
      <x:c r="T104" s="43" t="n">
        <x:v>1260</x:v>
      </x:c>
    </x:row>
    <x:row r="105" ht="22" customHeight="1">
      <x:c r="A105" s="43" t="str">
        <x:v>PACK-0104</x:v>
      </x:c>
      <x:c r="B105" s="43" t="str">
        <x:v>EST-021</x:v>
      </x:c>
      <x:c r="C105" s="43" t="str">
        <x:v>Platos listos para disfrutar</x:v>
      </x:c>
      <x:c r="D105" s="43" t="str">
        <x:v>Una selección sorpresa preparada con excedentes del día. El contenido puede variar según disponibilidad.</x:v>
      </x:c>
      <x:c r="E105" s="43" t="str">
        <x:v>prepared_food</x:v>
      </x:c>
      <x:c r="F105" s="48" t="n">
        <x:v>1400</x:v>
      </x:c>
      <x:c r="G105" s="48" t="n">
        <x:v>700</x:v>
      </x:c>
      <x:c r="H105" s="48" t="n">
        <x:v>9</x:v>
      </x:c>
      <x:c r="I105" s="48" t="n">
        <x:v>8</x:v>
      </x:c>
      <x:c r="J105" s="43" t="n">
        <x:v>-27</x:v>
      </x:c>
      <x:c r="K105" s="43" t="n">
        <x:v>-25</x:v>
      </x:c>
      <x:c r="L105" s="43" t="str">
        <x:v>18:30</x:v>
      </x:c>
      <x:c r="M105" s="43" t="str">
        <x:v>20:00</x:v>
      </x:c>
      <x:c r="N105" s="43" t="str"/>
      <x:c r="O105" s="43" t="str">
        <x:v>gluten|soy</x:v>
      </x:c>
      <x:c r="P105" s="43" t="str">
        <x:v>https://images.unsplash.com/photo-1542838132-92c53300491e?auto=format&amp;fit=crop&amp;w=1000&amp;q=80</x:v>
      </x:c>
      <x:c r="Q105" s="43" t="str">
        <x:v>expired</x:v>
      </x:c>
      <x:c r="R105" s="44" t="b">
        <x:v>0</x:v>
      </x:c>
      <x:c r="S105" s="43" t="n">
        <x:v>1375</x:v>
      </x:c>
      <x:c r="T105" s="43" t="n">
        <x:v>1440</x:v>
      </x:c>
    </x:row>
    <x:row r="106" ht="22" customHeight="1">
      <x:c r="A106" s="43" t="str">
        <x:v>PACK-0105</x:v>
      </x:c>
      <x:c r="B106" s="43" t="str">
        <x:v>EST-021</x:v>
      </x:c>
      <x:c r="C106" s="43" t="str">
        <x:v>Caja verde de aprovechamiento</x:v>
      </x:c>
      <x:c r="D106" s="43" t="str">
        <x:v>Una selección sorpresa preparada con excedentes del día. El contenido puede variar según disponibilidad.</x:v>
      </x:c>
      <x:c r="E106" s="43" t="str">
        <x:v>produce</x:v>
      </x:c>
      <x:c r="F106" s="48" t="n">
        <x:v>1525</x:v>
      </x:c>
      <x:c r="G106" s="48" t="n">
        <x:v>534</x:v>
      </x:c>
      <x:c r="H106" s="48" t="n">
        <x:v>10</x:v>
      </x:c>
      <x:c r="I106" s="48" t="n">
        <x:v>9</x:v>
      </x:c>
      <x:c r="J106" s="43" t="n">
        <x:v>-28</x:v>
      </x:c>
      <x:c r="K106" s="43" t="n">
        <x:v>-26</x:v>
      </x:c>
      <x:c r="L106" s="43" t="str">
        <x:v>19:00</x:v>
      </x:c>
      <x:c r="M106" s="43" t="str">
        <x:v>21:00</x:v>
      </x:c>
      <x:c r="N106" s="43" t="str">
        <x:v>vegan|vegetarian|gluten_free</x:v>
      </x:c>
      <x:c r="O106" s="43" t="str"/>
      <x:c r="P106" s="43" t="str">
        <x:v>https://images.unsplash.com/photo-1547592180-85f173990554?auto=format&amp;fit=crop&amp;w=1000&amp;q=80</x:v>
      </x:c>
      <x:c r="Q106" s="43" t="str">
        <x:v>expired</x:v>
      </x:c>
      <x:c r="R106" s="44" t="b">
        <x:v>0</x:v>
      </x:c>
      <x:c r="S106" s="43" t="n">
        <x:v>500</x:v>
      </x:c>
      <x:c r="T106" s="43" t="n">
        <x:v>1620</x:v>
      </x:c>
    </x:row>
    <x:row r="107" ht="22" customHeight="1">
      <x:c r="A107" s="43" t="str">
        <x:v>PACK-0106</x:v>
      </x:c>
      <x:c r="B107" s="43" t="str">
        <x:v>EST-022</x:v>
      </x:c>
      <x:c r="C107" s="43" t="str">
        <x:v>Desayuno completo</x:v>
      </x:c>
      <x:c r="D107" s="43" t="str">
        <x:v>Una selección sorpresa preparada con excedentes del día. El contenido puede variar según disponibilidad.</x:v>
      </x:c>
      <x:c r="E107" s="43" t="str">
        <x:v>breakfast</x:v>
      </x:c>
      <x:c r="F107" s="48" t="n">
        <x:v>1650</x:v>
      </x:c>
      <x:c r="G107" s="48" t="n">
        <x:v>660</x:v>
      </x:c>
      <x:c r="H107" s="48" t="n">
        <x:v>4</x:v>
      </x:c>
      <x:c r="I107" s="48" t="n">
        <x:v>3</x:v>
      </x:c>
      <x:c r="J107" s="43" t="n">
        <x:v>6</x:v>
      </x:c>
      <x:c r="K107" s="43" t="n">
        <x:v>8</x:v>
      </x:c>
      <x:c r="L107" s="43" t="str">
        <x:v>19:00</x:v>
      </x:c>
      <x:c r="M107" s="43" t="str">
        <x:v>21:00</x:v>
      </x:c>
      <x:c r="N107" s="43" t="str"/>
      <x:c r="O107" s="43" t="str">
        <x:v>gluten|milk</x:v>
      </x:c>
      <x:c r="P107" s="43" t="str">
        <x:v>https://images.unsplash.com/photo-1495474472287-4d71bcdd2085?auto=format&amp;fit=crop&amp;w=1000&amp;q=80</x:v>
      </x:c>
      <x:c r="Q107" s="43" t="str">
        <x:v>available</x:v>
      </x:c>
      <x:c r="R107" s="44" t="b">
        <x:v>1</x:v>
      </x:c>
      <x:c r="S107" s="43" t="n">
        <x:v>625</x:v>
      </x:c>
      <x:c r="T107" s="43" t="n">
        <x:v>1800</x:v>
      </x:c>
    </x:row>
    <x:row r="108" ht="22" customHeight="1">
      <x:c r="A108" s="43" t="str">
        <x:v>PACK-0107</x:v>
      </x:c>
      <x:c r="B108" s="43" t="str">
        <x:v>EST-022</x:v>
      </x:c>
      <x:c r="C108" s="43" t="str">
        <x:v>Sabores veganos del día</x:v>
      </x:c>
      <x:c r="D108" s="43" t="str">
        <x:v>Una selección sorpresa preparada con excedentes del día. El contenido puede variar según disponibilidad.</x:v>
      </x:c>
      <x:c r="E108" s="43" t="str">
        <x:v>vegan</x:v>
      </x:c>
      <x:c r="F108" s="48" t="n">
        <x:v>1775</x:v>
      </x:c>
      <x:c r="G108" s="48" t="n">
        <x:v>799</x:v>
      </x:c>
      <x:c r="H108" s="48" t="n">
        <x:v>5</x:v>
      </x:c>
      <x:c r="I108" s="48" t="n">
        <x:v>4</x:v>
      </x:c>
      <x:c r="J108" s="43" t="n">
        <x:v>7</x:v>
      </x:c>
      <x:c r="K108" s="43" t="n">
        <x:v>9</x:v>
      </x:c>
      <x:c r="L108" s="43" t="str">
        <x:v>18:30</x:v>
      </x:c>
      <x:c r="M108" s="43" t="str">
        <x:v>20:00</x:v>
      </x:c>
      <x:c r="N108" s="43" t="str">
        <x:v>vegan|vegetarian</x:v>
      </x:c>
      <x:c r="O108" s="43" t="str">
        <x:v>nuts|soy</x:v>
      </x:c>
      <x:c r="P108" s="43" t="str">
        <x:v>https://images.unsplash.com/photo-1540420773420-3366772f4999?auto=format&amp;fit=crop&amp;w=1000&amp;q=80</x:v>
      </x:c>
      <x:c r="Q108" s="43" t="str">
        <x:v>available</x:v>
      </x:c>
      <x:c r="R108" s="44" t="b">
        <x:v>0</x:v>
      </x:c>
      <x:c r="S108" s="43" t="n">
        <x:v>750</x:v>
      </x:c>
      <x:c r="T108" s="43" t="n">
        <x:v>1980</x:v>
      </x:c>
    </x:row>
    <x:row r="109" ht="22" customHeight="1">
      <x:c r="A109" s="43" t="str">
        <x:v>PACK-0108</x:v>
      </x:c>
      <x:c r="B109" s="43" t="str">
        <x:v>EST-022</x:v>
      </x:c>
      <x:c r="C109" s="43" t="str">
        <x:v>Lote ahorro del día</x:v>
      </x:c>
      <x:c r="D109" s="43" t="str">
        <x:v>Una selección sorpresa preparada con excedentes del día. El contenido puede variar según disponibilidad.</x:v>
      </x:c>
      <x:c r="E109" s="43" t="str">
        <x:v>mixed</x:v>
      </x:c>
      <x:c r="F109" s="48" t="n">
        <x:v>1900</x:v>
      </x:c>
      <x:c r="G109" s="48" t="n">
        <x:v>950</x:v>
      </x:c>
      <x:c r="H109" s="48" t="n">
        <x:v>6</x:v>
      </x:c>
      <x:c r="I109" s="48" t="n">
        <x:v>0</x:v>
      </x:c>
      <x:c r="J109" s="43" t="n">
        <x:v>8</x:v>
      </x:c>
      <x:c r="K109" s="43" t="n">
        <x:v>10</x:v>
      </x:c>
      <x:c r="L109" s="43" t="str">
        <x:v>19:00</x:v>
      </x:c>
      <x:c r="M109" s="43" t="str">
        <x:v>21:00</x:v>
      </x:c>
      <x:c r="N109" s="43" t="str"/>
      <x:c r="O109" s="43" t="str">
        <x:v>gluten|milk|nuts</x:v>
      </x:c>
      <x:c r="P109" s="43" t="str">
        <x:v>https://images.unsplash.com/photo-1565299624946-b28f40a0ae38?auto=format&amp;fit=crop&amp;w=1000&amp;q=80</x:v>
      </x:c>
      <x:c r="Q109" s="43" t="str">
        <x:v>sold_out</x:v>
      </x:c>
      <x:c r="R109" s="44" t="b">
        <x:v>0</x:v>
      </x:c>
      <x:c r="S109" s="43" t="n">
        <x:v>875</x:v>
      </x:c>
      <x:c r="T109" s="43" t="n">
        <x:v>2160</x:v>
      </x:c>
    </x:row>
    <x:row r="110" ht="22" customHeight="1">
      <x:c r="A110" s="43" t="str">
        <x:v>PACK-0109</x:v>
      </x:c>
      <x:c r="B110" s="43" t="str">
        <x:v>EST-022</x:v>
      </x:c>
      <x:c r="C110" s="43" t="str">
        <x:v>Pack de pan artesano</x:v>
      </x:c>
      <x:c r="D110" s="43" t="str">
        <x:v>Una selección sorpresa preparada con excedentes del día. El contenido puede variar según disponibilidad.</x:v>
      </x:c>
      <x:c r="E110" s="43" t="str">
        <x:v>bakery</x:v>
      </x:c>
      <x:c r="F110" s="48" t="n">
        <x:v>900</x:v>
      </x:c>
      <x:c r="G110" s="48" t="n">
        <x:v>315</x:v>
      </x:c>
      <x:c r="H110" s="48" t="n">
        <x:v>7</x:v>
      </x:c>
      <x:c r="I110" s="48" t="n">
        <x:v>6</x:v>
      </x:c>
      <x:c r="J110" s="43" t="n">
        <x:v>-32</x:v>
      </x:c>
      <x:c r="K110" s="43" t="n">
        <x:v>-30</x:v>
      </x:c>
      <x:c r="L110" s="43" t="str">
        <x:v>18:30</x:v>
      </x:c>
      <x:c r="M110" s="43" t="str">
        <x:v>20:00</x:v>
      </x:c>
      <x:c r="N110" s="43" t="str"/>
      <x:c r="O110" s="43" t="str">
        <x:v>gluten|milk|egg</x:v>
      </x:c>
      <x:c r="P110" s="43" t="str">
        <x:v>https://images.unsplash.com/photo-1509440159596-0249088772ff?auto=format&amp;fit=crop&amp;w=1000&amp;q=80</x:v>
      </x:c>
      <x:c r="Q110" s="43" t="str">
        <x:v>expired</x:v>
      </x:c>
      <x:c r="R110" s="44" t="b">
        <x:v>0</x:v>
      </x:c>
      <x:c r="S110" s="43" t="n">
        <x:v>1000</x:v>
      </x:c>
      <x:c r="T110" s="43" t="n">
        <x:v>2340</x:v>
      </x:c>
    </x:row>
    <x:row r="111" ht="22" customHeight="1">
      <x:c r="A111" s="43" t="str">
        <x:v>PACK-0110</x:v>
      </x:c>
      <x:c r="B111" s="43" t="str">
        <x:v>EST-022</x:v>
      </x:c>
      <x:c r="C111" s="43" t="str">
        <x:v>Platos listos para disfrutar</x:v>
      </x:c>
      <x:c r="D111" s="43" t="str">
        <x:v>Una selección sorpresa preparada con excedentes del día. El contenido puede variar según disponibilidad.</x:v>
      </x:c>
      <x:c r="E111" s="43" t="str">
        <x:v>prepared_food</x:v>
      </x:c>
      <x:c r="F111" s="48" t="n">
        <x:v>1025</x:v>
      </x:c>
      <x:c r="G111" s="48" t="n">
        <x:v>410</x:v>
      </x:c>
      <x:c r="H111" s="48" t="n">
        <x:v>8</x:v>
      </x:c>
      <x:c r="I111" s="48" t="n">
        <x:v>7</x:v>
      </x:c>
      <x:c r="J111" s="43" t="n">
        <x:v>-33</x:v>
      </x:c>
      <x:c r="K111" s="43" t="n">
        <x:v>-31</x:v>
      </x:c>
      <x:c r="L111" s="43" t="str">
        <x:v>19:00</x:v>
      </x:c>
      <x:c r="M111" s="43" t="str">
        <x:v>21:00</x:v>
      </x:c>
      <x:c r="N111" s="43" t="str"/>
      <x:c r="O111" s="43" t="str">
        <x:v>gluten|soy</x:v>
      </x:c>
      <x:c r="P111" s="43" t="str">
        <x:v>https://images.unsplash.com/photo-1542838132-92c53300491e?auto=format&amp;fit=crop&amp;w=1000&amp;q=80</x:v>
      </x:c>
      <x:c r="Q111" s="43" t="str">
        <x:v>expired</x:v>
      </x:c>
      <x:c r="R111" s="44" t="b">
        <x:v>0</x:v>
      </x:c>
      <x:c r="S111" s="43" t="n">
        <x:v>1125</x:v>
      </x:c>
      <x:c r="T111" s="43" t="n">
        <x:v>2520</x:v>
      </x:c>
    </x:row>
    <x:row r="112" ht="22" customHeight="1">
      <x:c r="A112" s="43" t="str">
        <x:v>PACK-0111</x:v>
      </x:c>
      <x:c r="B112" s="43" t="str">
        <x:v>EST-023</x:v>
      </x:c>
      <x:c r="C112" s="43" t="str">
        <x:v>Caja verde de aprovechamiento</x:v>
      </x:c>
      <x:c r="D112" s="43" t="str">
        <x:v>Una selección sorpresa preparada con excedentes del día. El contenido puede variar según disponibilidad.</x:v>
      </x:c>
      <x:c r="E112" s="43" t="str">
        <x:v>produce</x:v>
      </x:c>
      <x:c r="F112" s="48" t="n">
        <x:v>1150</x:v>
      </x:c>
      <x:c r="G112" s="48" t="n">
        <x:v>518</x:v>
      </x:c>
      <x:c r="H112" s="48" t="n">
        <x:v>9</x:v>
      </x:c>
      <x:c r="I112" s="48" t="n">
        <x:v>8</x:v>
      </x:c>
      <x:c r="J112" s="43" t="n">
        <x:v>11</x:v>
      </x:c>
      <x:c r="K112" s="43" t="n">
        <x:v>13</x:v>
      </x:c>
      <x:c r="L112" s="43" t="str">
        <x:v>19:00</x:v>
      </x:c>
      <x:c r="M112" s="43" t="str">
        <x:v>21:00</x:v>
      </x:c>
      <x:c r="N112" s="43" t="str">
        <x:v>vegan|vegetarian|gluten_free</x:v>
      </x:c>
      <x:c r="O112" s="43" t="str"/>
      <x:c r="P112" s="43" t="str">
        <x:v>https://images.unsplash.com/photo-1547592180-85f173990554?auto=format&amp;fit=crop&amp;w=1000&amp;q=80</x:v>
      </x:c>
      <x:c r="Q112" s="43" t="str">
        <x:v>available</x:v>
      </x:c>
      <x:c r="R112" s="44" t="b">
        <x:v>0</x:v>
      </x:c>
      <x:c r="S112" s="43" t="n">
        <x:v>1250</x:v>
      </x:c>
      <x:c r="T112" s="43" t="n">
        <x:v>900</x:v>
      </x:c>
    </x:row>
    <x:row r="113" ht="22" customHeight="1">
      <x:c r="A113" s="43" t="str">
        <x:v>PACK-0112</x:v>
      </x:c>
      <x:c r="B113" s="43" t="str">
        <x:v>EST-023</x:v>
      </x:c>
      <x:c r="C113" s="43" t="str">
        <x:v>Desayuno completo</x:v>
      </x:c>
      <x:c r="D113" s="43" t="str">
        <x:v>Una selección sorpresa preparada con excedentes del día. El contenido puede variar según disponibilidad.</x:v>
      </x:c>
      <x:c r="E113" s="43" t="str">
        <x:v>breakfast</x:v>
      </x:c>
      <x:c r="F113" s="48" t="n">
        <x:v>1275</x:v>
      </x:c>
      <x:c r="G113" s="48" t="n">
        <x:v>638</x:v>
      </x:c>
      <x:c r="H113" s="48" t="n">
        <x:v>10</x:v>
      </x:c>
      <x:c r="I113" s="48" t="n">
        <x:v>9</x:v>
      </x:c>
      <x:c r="J113" s="43" t="n">
        <x:v>12</x:v>
      </x:c>
      <x:c r="K113" s="43" t="n">
        <x:v>14</x:v>
      </x:c>
      <x:c r="L113" s="43" t="str">
        <x:v>18:30</x:v>
      </x:c>
      <x:c r="M113" s="43" t="str">
        <x:v>20:00</x:v>
      </x:c>
      <x:c r="N113" s="43" t="str"/>
      <x:c r="O113" s="43" t="str">
        <x:v>gluten|milk</x:v>
      </x:c>
      <x:c r="P113" s="43" t="str">
        <x:v>https://images.unsplash.com/photo-1495474472287-4d71bcdd2085?auto=format&amp;fit=crop&amp;w=1000&amp;q=80</x:v>
      </x:c>
      <x:c r="Q113" s="43" t="str">
        <x:v>available</x:v>
      </x:c>
      <x:c r="R113" s="44" t="b">
        <x:v>0</x:v>
      </x:c>
      <x:c r="S113" s="43" t="n">
        <x:v>1375</x:v>
      </x:c>
      <x:c r="T113" s="43" t="n">
        <x:v>1080</x:v>
      </x:c>
    </x:row>
    <x:row r="114" ht="22" customHeight="1">
      <x:c r="A114" s="43" t="str">
        <x:v>PACK-0113</x:v>
      </x:c>
      <x:c r="B114" s="43" t="str">
        <x:v>EST-023</x:v>
      </x:c>
      <x:c r="C114" s="43" t="str">
        <x:v>Sabores veganos del día</x:v>
      </x:c>
      <x:c r="D114" s="43" t="str">
        <x:v>Una selección sorpresa preparada con excedentes del día. El contenido puede variar según disponibilidad.</x:v>
      </x:c>
      <x:c r="E114" s="43" t="str">
        <x:v>vegan</x:v>
      </x:c>
      <x:c r="F114" s="48" t="n">
        <x:v>1400</x:v>
      </x:c>
      <x:c r="G114" s="48" t="n">
        <x:v>490</x:v>
      </x:c>
      <x:c r="H114" s="48" t="n">
        <x:v>4</x:v>
      </x:c>
      <x:c r="I114" s="48" t="n">
        <x:v>0</x:v>
      </x:c>
      <x:c r="J114" s="43" t="n">
        <x:v>-1</x:v>
      </x:c>
      <x:c r="K114" s="43" t="n">
        <x:v>1</x:v>
      </x:c>
      <x:c r="L114" s="43" t="str">
        <x:v>19:00</x:v>
      </x:c>
      <x:c r="M114" s="43" t="str">
        <x:v>21:00</x:v>
      </x:c>
      <x:c r="N114" s="43" t="str">
        <x:v>vegan|vegetarian</x:v>
      </x:c>
      <x:c r="O114" s="43" t="str">
        <x:v>nuts|soy</x:v>
      </x:c>
      <x:c r="P114" s="43" t="str">
        <x:v>https://images.unsplash.com/photo-1540420773420-3366772f4999?auto=format&amp;fit=crop&amp;w=1000&amp;q=80</x:v>
      </x:c>
      <x:c r="Q114" s="43" t="str">
        <x:v>sold_out</x:v>
      </x:c>
      <x:c r="R114" s="44" t="b">
        <x:v>0</x:v>
      </x:c>
      <x:c r="S114" s="43" t="n">
        <x:v>500</x:v>
      </x:c>
      <x:c r="T114" s="43" t="n">
        <x:v>1260</x:v>
      </x:c>
    </x:row>
    <x:row r="115" ht="22" customHeight="1">
      <x:c r="A115" s="43" t="str">
        <x:v>PACK-0114</x:v>
      </x:c>
      <x:c r="B115" s="43" t="str">
        <x:v>EST-023</x:v>
      </x:c>
      <x:c r="C115" s="43" t="str">
        <x:v>Lote ahorro del día</x:v>
      </x:c>
      <x:c r="D115" s="43" t="str">
        <x:v>Una selección sorpresa preparada con excedentes del día. El contenido puede variar según disponibilidad.</x:v>
      </x:c>
      <x:c r="E115" s="43" t="str">
        <x:v>mixed</x:v>
      </x:c>
      <x:c r="F115" s="48" t="n">
        <x:v>1525</x:v>
      </x:c>
      <x:c r="G115" s="48" t="n">
        <x:v>610</x:v>
      </x:c>
      <x:c r="H115" s="48" t="n">
        <x:v>5</x:v>
      </x:c>
      <x:c r="I115" s="48" t="n">
        <x:v>4</x:v>
      </x:c>
      <x:c r="J115" s="43" t="n">
        <x:v>-37</x:v>
      </x:c>
      <x:c r="K115" s="43" t="n">
        <x:v>-35</x:v>
      </x:c>
      <x:c r="L115" s="43" t="str">
        <x:v>18:30</x:v>
      </x:c>
      <x:c r="M115" s="43" t="str">
        <x:v>20:00</x:v>
      </x:c>
      <x:c r="N115" s="43" t="str"/>
      <x:c r="O115" s="43" t="str">
        <x:v>gluten|milk|nuts</x:v>
      </x:c>
      <x:c r="P115" s="43" t="str">
        <x:v>https://images.unsplash.com/photo-1565299624946-b28f40a0ae38?auto=format&amp;fit=crop&amp;w=1000&amp;q=80</x:v>
      </x:c>
      <x:c r="Q115" s="43" t="str">
        <x:v>expired</x:v>
      </x:c>
      <x:c r="R115" s="44" t="b">
        <x:v>0</x:v>
      </x:c>
      <x:c r="S115" s="43" t="n">
        <x:v>625</x:v>
      </x:c>
      <x:c r="T115" s="43" t="n">
        <x:v>1440</x:v>
      </x:c>
    </x:row>
    <x:row r="116" ht="22" customHeight="1">
      <x:c r="A116" s="43" t="str">
        <x:v>PACK-0115</x:v>
      </x:c>
      <x:c r="B116" s="43" t="str">
        <x:v>EST-023</x:v>
      </x:c>
      <x:c r="C116" s="43" t="str">
        <x:v>Pack de pan artesano</x:v>
      </x:c>
      <x:c r="D116" s="43" t="str">
        <x:v>Una selección sorpresa preparada con excedentes del día. El contenido puede variar según disponibilidad.</x:v>
      </x:c>
      <x:c r="E116" s="43" t="str">
        <x:v>bakery</x:v>
      </x:c>
      <x:c r="F116" s="48" t="n">
        <x:v>1650</x:v>
      </x:c>
      <x:c r="G116" s="48" t="n">
        <x:v>742</x:v>
      </x:c>
      <x:c r="H116" s="48" t="n">
        <x:v>6</x:v>
      </x:c>
      <x:c r="I116" s="48" t="n">
        <x:v>5</x:v>
      </x:c>
      <x:c r="J116" s="43" t="n">
        <x:v>-38</x:v>
      </x:c>
      <x:c r="K116" s="43" t="n">
        <x:v>-36</x:v>
      </x:c>
      <x:c r="L116" s="43" t="str">
        <x:v>19:00</x:v>
      </x:c>
      <x:c r="M116" s="43" t="str">
        <x:v>21:00</x:v>
      </x:c>
      <x:c r="N116" s="43" t="str"/>
      <x:c r="O116" s="43" t="str">
        <x:v>gluten|milk|egg</x:v>
      </x:c>
      <x:c r="P116" s="43" t="str">
        <x:v>https://images.unsplash.com/photo-1509440159596-0249088772ff?auto=format&amp;fit=crop&amp;w=1000&amp;q=80</x:v>
      </x:c>
      <x:c r="Q116" s="43" t="str">
        <x:v>expired</x:v>
      </x:c>
      <x:c r="R116" s="44" t="b">
        <x:v>0</x:v>
      </x:c>
      <x:c r="S116" s="43" t="n">
        <x:v>750</x:v>
      </x:c>
      <x:c r="T116" s="43" t="n">
        <x:v>1620</x:v>
      </x:c>
    </x:row>
    <x:row r="117" ht="22" customHeight="1">
      <x:c r="A117" s="43" t="str">
        <x:v>PACK-0116</x:v>
      </x:c>
      <x:c r="B117" s="43" t="str">
        <x:v>EST-024</x:v>
      </x:c>
      <x:c r="C117" s="43" t="str">
        <x:v>Platos listos para disfrutar</x:v>
      </x:c>
      <x:c r="D117" s="43" t="str">
        <x:v>Una selección sorpresa preparada con excedentes del día. El contenido puede variar según disponibilidad.</x:v>
      </x:c>
      <x:c r="E117" s="43" t="str">
        <x:v>prepared_food</x:v>
      </x:c>
      <x:c r="F117" s="48" t="n">
        <x:v>1775</x:v>
      </x:c>
      <x:c r="G117" s="48" t="n">
        <x:v>888</x:v>
      </x:c>
      <x:c r="H117" s="48" t="n">
        <x:v>7</x:v>
      </x:c>
      <x:c r="I117" s="48" t="n">
        <x:v>6</x:v>
      </x:c>
      <x:c r="J117" s="43" t="n">
        <x:v>2</x:v>
      </x:c>
      <x:c r="K117" s="43" t="n">
        <x:v>4</x:v>
      </x:c>
      <x:c r="L117" s="43" t="str">
        <x:v>19:00</x:v>
      </x:c>
      <x:c r="M117" s="43" t="str">
        <x:v>21:00</x:v>
      </x:c>
      <x:c r="N117" s="43" t="str"/>
      <x:c r="O117" s="43" t="str">
        <x:v>gluten|soy</x:v>
      </x:c>
      <x:c r="P117" s="43" t="str">
        <x:v>https://images.unsplash.com/photo-1542838132-92c53300491e?auto=format&amp;fit=crop&amp;w=1000&amp;q=80</x:v>
      </x:c>
      <x:c r="Q117" s="43" t="str">
        <x:v>available</x:v>
      </x:c>
      <x:c r="R117" s="44" t="b">
        <x:v>0</x:v>
      </x:c>
      <x:c r="S117" s="43" t="n">
        <x:v>875</x:v>
      </x:c>
      <x:c r="T117" s="43" t="n">
        <x:v>1800</x:v>
      </x:c>
    </x:row>
    <x:row r="118" ht="22" customHeight="1">
      <x:c r="A118" s="43" t="str">
        <x:v>PACK-0117</x:v>
      </x:c>
      <x:c r="B118" s="43" t="str">
        <x:v>EST-024</x:v>
      </x:c>
      <x:c r="C118" s="43" t="str">
        <x:v>Caja verde de aprovechamiento</x:v>
      </x:c>
      <x:c r="D118" s="43" t="str">
        <x:v>Una selección sorpresa preparada con excedentes del día. El contenido puede variar según disponibilidad.</x:v>
      </x:c>
      <x:c r="E118" s="43" t="str">
        <x:v>produce</x:v>
      </x:c>
      <x:c r="F118" s="48" t="n">
        <x:v>1900</x:v>
      </x:c>
      <x:c r="G118" s="48" t="n">
        <x:v>665</x:v>
      </x:c>
      <x:c r="H118" s="48" t="n">
        <x:v>8</x:v>
      </x:c>
      <x:c r="I118" s="48" t="n">
        <x:v>7</x:v>
      </x:c>
      <x:c r="J118" s="43" t="n">
        <x:v>3</x:v>
      </x:c>
      <x:c r="K118" s="43" t="n">
        <x:v>5</x:v>
      </x:c>
      <x:c r="L118" s="43" t="str">
        <x:v>18:30</x:v>
      </x:c>
      <x:c r="M118" s="43" t="str">
        <x:v>20:00</x:v>
      </x:c>
      <x:c r="N118" s="43" t="str">
        <x:v>vegan|vegetarian|gluten_free</x:v>
      </x:c>
      <x:c r="O118" s="43" t="str"/>
      <x:c r="P118" s="43" t="str">
        <x:v>https://images.unsplash.com/photo-1547592180-85f173990554?auto=format&amp;fit=crop&amp;w=1000&amp;q=80</x:v>
      </x:c>
      <x:c r="Q118" s="43" t="str">
        <x:v>available</x:v>
      </x:c>
      <x:c r="R118" s="44" t="b">
        <x:v>0</x:v>
      </x:c>
      <x:c r="S118" s="43" t="n">
        <x:v>1000</x:v>
      </x:c>
      <x:c r="T118" s="43" t="n">
        <x:v>1980</x:v>
      </x:c>
    </x:row>
    <x:row r="119" ht="22" customHeight="1">
      <x:c r="A119" s="43" t="str">
        <x:v>PACK-0118</x:v>
      </x:c>
      <x:c r="B119" s="43" t="str">
        <x:v>EST-024</x:v>
      </x:c>
      <x:c r="C119" s="43" t="str">
        <x:v>Desayuno completo</x:v>
      </x:c>
      <x:c r="D119" s="43" t="str">
        <x:v>Una selección sorpresa preparada con excedentes del día. El contenido puede variar según disponibilidad.</x:v>
      </x:c>
      <x:c r="E119" s="43" t="str">
        <x:v>breakfast</x:v>
      </x:c>
      <x:c r="F119" s="48" t="n">
        <x:v>900</x:v>
      </x:c>
      <x:c r="G119" s="48" t="n">
        <x:v>360</x:v>
      </x:c>
      <x:c r="H119" s="48" t="n">
        <x:v>9</x:v>
      </x:c>
      <x:c r="I119" s="48" t="n">
        <x:v>0</x:v>
      </x:c>
      <x:c r="J119" s="43" t="n">
        <x:v>4</x:v>
      </x:c>
      <x:c r="K119" s="43" t="n">
        <x:v>6</x:v>
      </x:c>
      <x:c r="L119" s="43" t="str">
        <x:v>19:00</x:v>
      </x:c>
      <x:c r="M119" s="43" t="str">
        <x:v>21:00</x:v>
      </x:c>
      <x:c r="N119" s="43" t="str"/>
      <x:c r="O119" s="43" t="str">
        <x:v>gluten|milk</x:v>
      </x:c>
      <x:c r="P119" s="43" t="str">
        <x:v>https://images.unsplash.com/photo-1495474472287-4d71bcdd2085?auto=format&amp;fit=crop&amp;w=1000&amp;q=80</x:v>
      </x:c>
      <x:c r="Q119" s="43" t="str">
        <x:v>sold_out</x:v>
      </x:c>
      <x:c r="R119" s="44" t="b">
        <x:v>0</x:v>
      </x:c>
      <x:c r="S119" s="43" t="n">
        <x:v>1125</x:v>
      </x:c>
      <x:c r="T119" s="43" t="n">
        <x:v>2160</x:v>
      </x:c>
    </x:row>
    <x:row r="120" ht="22" customHeight="1">
      <x:c r="A120" s="43" t="str">
        <x:v>PACK-0119</x:v>
      </x:c>
      <x:c r="B120" s="43" t="str">
        <x:v>EST-024</x:v>
      </x:c>
      <x:c r="C120" s="43" t="str">
        <x:v>Sabores veganos del día</x:v>
      </x:c>
      <x:c r="D120" s="43" t="str">
        <x:v>Una selección sorpresa preparada con excedentes del día. El contenido puede variar según disponibilidad.</x:v>
      </x:c>
      <x:c r="E120" s="43" t="str">
        <x:v>vegan</x:v>
      </x:c>
      <x:c r="F120" s="48" t="n">
        <x:v>1025</x:v>
      </x:c>
      <x:c r="G120" s="48" t="n">
        <x:v>461</x:v>
      </x:c>
      <x:c r="H120" s="48" t="n">
        <x:v>10</x:v>
      </x:c>
      <x:c r="I120" s="48" t="n">
        <x:v>9</x:v>
      </x:c>
      <x:c r="J120" s="43" t="n">
        <x:v>-42</x:v>
      </x:c>
      <x:c r="K120" s="43" t="n">
        <x:v>-40</x:v>
      </x:c>
      <x:c r="L120" s="43" t="str">
        <x:v>18:30</x:v>
      </x:c>
      <x:c r="M120" s="43" t="str">
        <x:v>20:00</x:v>
      </x:c>
      <x:c r="N120" s="43" t="str">
        <x:v>vegan|vegetarian</x:v>
      </x:c>
      <x:c r="O120" s="43" t="str">
        <x:v>nuts|soy</x:v>
      </x:c>
      <x:c r="P120" s="43" t="str">
        <x:v>https://images.unsplash.com/photo-1540420773420-3366772f4999?auto=format&amp;fit=crop&amp;w=1000&amp;q=80</x:v>
      </x:c>
      <x:c r="Q120" s="43" t="str">
        <x:v>expired</x:v>
      </x:c>
      <x:c r="R120" s="44" t="b">
        <x:v>0</x:v>
      </x:c>
      <x:c r="S120" s="43" t="n">
        <x:v>1250</x:v>
      </x:c>
      <x:c r="T120" s="43" t="n">
        <x:v>2340</x:v>
      </x:c>
    </x:row>
    <x:row r="121" ht="22" customHeight="1">
      <x:c r="A121" s="45" t="str">
        <x:v>PACK-0120</x:v>
      </x:c>
      <x:c r="B121" s="45" t="str">
        <x:v>EST-024</x:v>
      </x:c>
      <x:c r="C121" s="45" t="str">
        <x:v>Lote ahorro del día</x:v>
      </x:c>
      <x:c r="D121" s="45" t="str">
        <x:v>Una selección sorpresa preparada con excedentes del día. El contenido puede variar según disponibilidad.</x:v>
      </x:c>
      <x:c r="E121" s="45" t="str">
        <x:v>mixed</x:v>
      </x:c>
      <x:c r="F121" s="49" t="n">
        <x:v>1150</x:v>
      </x:c>
      <x:c r="G121" s="49" t="n">
        <x:v>575</x:v>
      </x:c>
      <x:c r="H121" s="49" t="n">
        <x:v>4</x:v>
      </x:c>
      <x:c r="I121" s="49" t="n">
        <x:v>3</x:v>
      </x:c>
      <x:c r="J121" s="45" t="n">
        <x:v>-43</x:v>
      </x:c>
      <x:c r="K121" s="45" t="n">
        <x:v>-41</x:v>
      </x:c>
      <x:c r="L121" s="45" t="str">
        <x:v>19:00</x:v>
      </x:c>
      <x:c r="M121" s="45" t="str">
        <x:v>21:00</x:v>
      </x:c>
      <x:c r="N121" s="45" t="str"/>
      <x:c r="O121" s="45" t="str">
        <x:v>gluten|milk|nuts</x:v>
      </x:c>
      <x:c r="P121" s="45" t="str">
        <x:v>https://images.unsplash.com/photo-1565299624946-b28f40a0ae38?auto=format&amp;fit=crop&amp;w=1000&amp;q=80</x:v>
      </x:c>
      <x:c r="Q121" s="45" t="str">
        <x:v>expired</x:v>
      </x:c>
      <x:c r="R121" s="46" t="b">
        <x:v>0</x:v>
      </x:c>
      <x:c r="S121" s="45" t="n">
        <x:v>1375</x:v>
      </x:c>
      <x:c r="T121" s="45" t="n">
        <x:v>2520</x:v>
      </x:c>
    </x:row>
  </x:sheetData>
  <x:conditionalFormatting sqref="A2:A121">
    <x:cfRule type="duplicateValues" dxfId="3" priority="1"/>
  </x:conditionalFormatting>
  <x:dataValidations count="2">
    <x:dataValidation type="list" sqref="E2:E121">
      <x:formula1>"bakery,prepared_food,produce,breakfast,vegan,mixed"</x:formula1>
    </x:dataValidation>
    <x:dataValidation type="list" sqref="R2:R121">
      <x:formula1>"available,sold_out,expired,cancelled"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a46b28f09c4c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16" hidden="0" customWidth="1"/>
    <x:col min="9" max="9" width="10" hidden="0" customWidth="1"/>
    <x:col min="10" max="10" width="44" hidden="0" customWidth="1"/>
    <x:col min="11" max="11" width="24" hidden="0" customWidth="1"/>
  </x:cols>
  <x:sheetData>
    <x:row r="1" ht="30" customHeight="1">
      <x:c r="A1" s="38" t="str">
        <x:v>external_id</x:v>
      </x:c>
      <x:c r="B1" s="38" t="str">
        <x:v>pack_external_id</x:v>
      </x:c>
      <x:c r="C1" s="38" t="str">
        <x:v>user_external_id</x:v>
      </x:c>
      <x:c r="D1" s="38" t="str">
        <x:v>quantity</x:v>
      </x:c>
      <x:c r="E1" s="38" t="str">
        <x:v>status</x:v>
      </x:c>
      <x:c r="F1" s="38" t="str">
        <x:v>created_day_offset</x:v>
      </x:c>
      <x:c r="G1" s="38" t="str">
        <x:v>created_time</x:v>
      </x:c>
      <x:c r="H1" s="38" t="str">
        <x:v>pickup_code</x:v>
      </x:c>
      <x:c r="I1" s="38" t="str">
        <x:v>rating</x:v>
      </x:c>
      <x:c r="J1" s="38" t="str">
        <x:v>review</x:v>
      </x:c>
      <x:c r="K1" s="38" t="str">
        <x:v>cancel_reason</x:v>
      </x:c>
    </x:row>
    <x:row r="2" ht="22" customHeight="1">
      <x:c r="A2" s="41" t="str">
        <x:v>RSV-0001</x:v>
      </x:c>
      <x:c r="B2" s="41" t="str">
        <x:v>PACK-0001</x:v>
      </x:c>
      <x:c r="C2" s="41" t="str">
        <x:v>USR-CLI-001</x:v>
      </x:c>
      <x:c r="D2" s="41" t="n">
        <x:v>1</x:v>
      </x:c>
      <x:c r="E2" s="41" t="str">
        <x:v>pending</x:v>
      </x:c>
      <x:c r="F2" s="41" t="n">
        <x:v>-1</x:v>
      </x:c>
      <x:c r="G2" s="41" t="str">
        <x:v>09:00</x:v>
      </x:c>
      <x:c r="H2" s="41" t="str">
        <x:v>RP-1000</x:v>
      </x:c>
      <x:c r="I2" s="41" t="str"/>
      <x:c r="J2" s="41" t="str"/>
      <x:c r="K2" s="41" t="str"/>
    </x:row>
    <x:row r="3" ht="22" customHeight="1">
      <x:c r="A3" s="43" t="str">
        <x:v>RSV-0002</x:v>
      </x:c>
      <x:c r="B3" s="43" t="str">
        <x:v>PACK-0002</x:v>
      </x:c>
      <x:c r="C3" s="43" t="str">
        <x:v>USR-CLI-008</x:v>
      </x:c>
      <x:c r="D3" s="43" t="n">
        <x:v>1</x:v>
      </x:c>
      <x:c r="E3" s="43" t="str">
        <x:v>pending</x:v>
      </x:c>
      <x:c r="F3" s="43" t="n">
        <x:v>-2</x:v>
      </x:c>
      <x:c r="G3" s="43" t="str">
        <x:v>10:30</x:v>
      </x:c>
      <x:c r="H3" s="43" t="str">
        <x:v>RP-1001</x:v>
      </x:c>
      <x:c r="I3" s="43" t="str"/>
      <x:c r="J3" s="43" t="str"/>
      <x:c r="K3" s="43" t="str"/>
    </x:row>
    <x:row r="4" ht="22" customHeight="1">
      <x:c r="A4" s="43" t="str">
        <x:v>RSV-0003</x:v>
      </x:c>
      <x:c r="B4" s="43" t="str">
        <x:v>PACK-0003</x:v>
      </x:c>
      <x:c r="C4" s="43" t="str">
        <x:v>USR-CLI-015</x:v>
      </x:c>
      <x:c r="D4" s="43" t="n">
        <x:v>1</x:v>
      </x:c>
      <x:c r="E4" s="43" t="str">
        <x:v>pending</x:v>
      </x:c>
      <x:c r="F4" s="43" t="n">
        <x:v>-3</x:v>
      </x:c>
      <x:c r="G4" s="43" t="str">
        <x:v>11:00</x:v>
      </x:c>
      <x:c r="H4" s="43" t="str">
        <x:v>RP-1002</x:v>
      </x:c>
      <x:c r="I4" s="43" t="str"/>
      <x:c r="J4" s="43" t="str"/>
      <x:c r="K4" s="43" t="str"/>
    </x:row>
    <x:row r="5" ht="22" customHeight="1">
      <x:c r="A5" s="43" t="str">
        <x:v>RSV-0004</x:v>
      </x:c>
      <x:c r="B5" s="43" t="str">
        <x:v>PACK-0004</x:v>
      </x:c>
      <x:c r="C5" s="43" t="str">
        <x:v>USR-CLI-022</x:v>
      </x:c>
      <x:c r="D5" s="43" t="n">
        <x:v>1</x:v>
      </x:c>
      <x:c r="E5" s="43" t="str">
        <x:v>pending</x:v>
      </x:c>
      <x:c r="F5" s="43" t="n">
        <x:v>-4</x:v>
      </x:c>
      <x:c r="G5" s="43" t="str">
        <x:v>12:30</x:v>
      </x:c>
      <x:c r="H5" s="43" t="str">
        <x:v>RP-1003</x:v>
      </x:c>
      <x:c r="I5" s="43" t="str"/>
      <x:c r="J5" s="43" t="str"/>
      <x:c r="K5" s="43" t="str"/>
    </x:row>
    <x:row r="6" ht="22" customHeight="1">
      <x:c r="A6" s="43" t="str">
        <x:v>RSV-0005</x:v>
      </x:c>
      <x:c r="B6" s="43" t="str">
        <x:v>PACK-0005</x:v>
      </x:c>
      <x:c r="C6" s="43" t="str">
        <x:v>USR-CLI-002</x:v>
      </x:c>
      <x:c r="D6" s="43" t="n">
        <x:v>1</x:v>
      </x:c>
      <x:c r="E6" s="43" t="str">
        <x:v>pending</x:v>
      </x:c>
      <x:c r="F6" s="43" t="n">
        <x:v>-5</x:v>
      </x:c>
      <x:c r="G6" s="43" t="str">
        <x:v>13:00</x:v>
      </x:c>
      <x:c r="H6" s="43" t="str">
        <x:v>RP-1004</x:v>
      </x:c>
      <x:c r="I6" s="43" t="str"/>
      <x:c r="J6" s="43" t="str"/>
      <x:c r="K6" s="43" t="str"/>
    </x:row>
    <x:row r="7" ht="22" customHeight="1">
      <x:c r="A7" s="43" t="str">
        <x:v>RSV-0006</x:v>
      </x:c>
      <x:c r="B7" s="43" t="str">
        <x:v>PACK-0006</x:v>
      </x:c>
      <x:c r="C7" s="43" t="str">
        <x:v>USR-CLI-009</x:v>
      </x:c>
      <x:c r="D7" s="43" t="n">
        <x:v>1</x:v>
      </x:c>
      <x:c r="E7" s="43" t="str">
        <x:v>pending</x:v>
      </x:c>
      <x:c r="F7" s="43" t="n">
        <x:v>-6</x:v>
      </x:c>
      <x:c r="G7" s="43" t="str">
        <x:v>14:30</x:v>
      </x:c>
      <x:c r="H7" s="43" t="str">
        <x:v>RP-1005</x:v>
      </x:c>
      <x:c r="I7" s="43" t="str"/>
      <x:c r="J7" s="43" t="str"/>
      <x:c r="K7" s="43" t="str"/>
    </x:row>
    <x:row r="8" ht="22" customHeight="1">
      <x:c r="A8" s="43" t="str">
        <x:v>RSV-0007</x:v>
      </x:c>
      <x:c r="B8" s="43" t="str">
        <x:v>PACK-0007</x:v>
      </x:c>
      <x:c r="C8" s="43" t="str">
        <x:v>USR-CLI-016</x:v>
      </x:c>
      <x:c r="D8" s="43" t="n">
        <x:v>1</x:v>
      </x:c>
      <x:c r="E8" s="43" t="str">
        <x:v>pending</x:v>
      </x:c>
      <x:c r="F8" s="43" t="n">
        <x:v>-7</x:v>
      </x:c>
      <x:c r="G8" s="43" t="str">
        <x:v>15:00</x:v>
      </x:c>
      <x:c r="H8" s="43" t="str">
        <x:v>RP-1006</x:v>
      </x:c>
      <x:c r="I8" s="43" t="str"/>
      <x:c r="J8" s="43" t="str"/>
      <x:c r="K8" s="43" t="str"/>
    </x:row>
    <x:row r="9" ht="22" customHeight="1">
      <x:c r="A9" s="43" t="str">
        <x:v>RSV-0008</x:v>
      </x:c>
      <x:c r="B9" s="43" t="str">
        <x:v>PACK-0008</x:v>
      </x:c>
      <x:c r="C9" s="43" t="str">
        <x:v>USR-CLI-023</x:v>
      </x:c>
      <x:c r="D9" s="43" t="n">
        <x:v>1</x:v>
      </x:c>
      <x:c r="E9" s="43" t="str">
        <x:v>pending</x:v>
      </x:c>
      <x:c r="F9" s="43" t="n">
        <x:v>-8</x:v>
      </x:c>
      <x:c r="G9" s="43" t="str">
        <x:v>16:30</x:v>
      </x:c>
      <x:c r="H9" s="43" t="str">
        <x:v>RP-1007</x:v>
      </x:c>
      <x:c r="I9" s="43" t="str"/>
      <x:c r="J9" s="43" t="str"/>
      <x:c r="K9" s="43" t="str"/>
    </x:row>
    <x:row r="10" ht="22" customHeight="1">
      <x:c r="A10" s="43" t="str">
        <x:v>RSV-0009</x:v>
      </x:c>
      <x:c r="B10" s="43" t="str">
        <x:v>PACK-0009</x:v>
      </x:c>
      <x:c r="C10" s="43" t="str">
        <x:v>USR-CLI-003</x:v>
      </x:c>
      <x:c r="D10" s="43" t="n">
        <x:v>1</x:v>
      </x:c>
      <x:c r="E10" s="43" t="str">
        <x:v>pending</x:v>
      </x:c>
      <x:c r="F10" s="43" t="n">
        <x:v>-9</x:v>
      </x:c>
      <x:c r="G10" s="43" t="str">
        <x:v>17:00</x:v>
      </x:c>
      <x:c r="H10" s="43" t="str">
        <x:v>RP-1008</x:v>
      </x:c>
      <x:c r="I10" s="43" t="str"/>
      <x:c r="J10" s="43" t="str"/>
      <x:c r="K10" s="43" t="str"/>
    </x:row>
    <x:row r="11" ht="22" customHeight="1">
      <x:c r="A11" s="43" t="str">
        <x:v>RSV-0010</x:v>
      </x:c>
      <x:c r="B11" s="43" t="str">
        <x:v>PACK-0010</x:v>
      </x:c>
      <x:c r="C11" s="43" t="str">
        <x:v>USR-CLI-010</x:v>
      </x:c>
      <x:c r="D11" s="43" t="n">
        <x:v>1</x:v>
      </x:c>
      <x:c r="E11" s="43" t="str">
        <x:v>pending</x:v>
      </x:c>
      <x:c r="F11" s="43" t="n">
        <x:v>-10</x:v>
      </x:c>
      <x:c r="G11" s="43" t="str">
        <x:v>18:30</x:v>
      </x:c>
      <x:c r="H11" s="43" t="str">
        <x:v>RP-1009</x:v>
      </x:c>
      <x:c r="I11" s="43" t="str"/>
      <x:c r="J11" s="43" t="str"/>
      <x:c r="K11" s="43" t="str"/>
    </x:row>
    <x:row r="12" ht="22" customHeight="1">
      <x:c r="A12" s="43" t="str">
        <x:v>RSV-0011</x:v>
      </x:c>
      <x:c r="B12" s="43" t="str">
        <x:v>PACK-0011</x:v>
      </x:c>
      <x:c r="C12" s="43" t="str">
        <x:v>USR-CLI-017</x:v>
      </x:c>
      <x:c r="D12" s="43" t="n">
        <x:v>1</x:v>
      </x:c>
      <x:c r="E12" s="43" t="str">
        <x:v>pending</x:v>
      </x:c>
      <x:c r="F12" s="43" t="n">
        <x:v>-11</x:v>
      </x:c>
      <x:c r="G12" s="43" t="str">
        <x:v>09:00</x:v>
      </x:c>
      <x:c r="H12" s="43" t="str">
        <x:v>RP-1010</x:v>
      </x:c>
      <x:c r="I12" s="43" t="str"/>
      <x:c r="J12" s="43" t="str"/>
      <x:c r="K12" s="43" t="str"/>
    </x:row>
    <x:row r="13" ht="22" customHeight="1">
      <x:c r="A13" s="43" t="str">
        <x:v>RSV-0012</x:v>
      </x:c>
      <x:c r="B13" s="43" t="str">
        <x:v>PACK-0012</x:v>
      </x:c>
      <x:c r="C13" s="43" t="str">
        <x:v>USR-CLI-024</x:v>
      </x:c>
      <x:c r="D13" s="43" t="n">
        <x:v>1</x:v>
      </x:c>
      <x:c r="E13" s="43" t="str">
        <x:v>pending</x:v>
      </x:c>
      <x:c r="F13" s="43" t="n">
        <x:v>-12</x:v>
      </x:c>
      <x:c r="G13" s="43" t="str">
        <x:v>10:30</x:v>
      </x:c>
      <x:c r="H13" s="43" t="str">
        <x:v>RP-1011</x:v>
      </x:c>
      <x:c r="I13" s="43" t="str"/>
      <x:c r="J13" s="43" t="str"/>
      <x:c r="K13" s="43" t="str"/>
    </x:row>
    <x:row r="14" ht="22" customHeight="1">
      <x:c r="A14" s="43" t="str">
        <x:v>RSV-0013</x:v>
      </x:c>
      <x:c r="B14" s="43" t="str">
        <x:v>PACK-0013</x:v>
      </x:c>
      <x:c r="C14" s="43" t="str">
        <x:v>USR-CLI-004</x:v>
      </x:c>
      <x:c r="D14" s="43" t="n">
        <x:v>1</x:v>
      </x:c>
      <x:c r="E14" s="43" t="str">
        <x:v>pending</x:v>
      </x:c>
      <x:c r="F14" s="43" t="n">
        <x:v>-13</x:v>
      </x:c>
      <x:c r="G14" s="43" t="str">
        <x:v>11:00</x:v>
      </x:c>
      <x:c r="H14" s="43" t="str">
        <x:v>RP-1012</x:v>
      </x:c>
      <x:c r="I14" s="43" t="str"/>
      <x:c r="J14" s="43" t="str"/>
      <x:c r="K14" s="43" t="str"/>
    </x:row>
    <x:row r="15" ht="22" customHeight="1">
      <x:c r="A15" s="43" t="str">
        <x:v>RSV-0014</x:v>
      </x:c>
      <x:c r="B15" s="43" t="str">
        <x:v>PACK-0014</x:v>
      </x:c>
      <x:c r="C15" s="43" t="str">
        <x:v>USR-CLI-011</x:v>
      </x:c>
      <x:c r="D15" s="43" t="n">
        <x:v>1</x:v>
      </x:c>
      <x:c r="E15" s="43" t="str">
        <x:v>pending</x:v>
      </x:c>
      <x:c r="F15" s="43" t="n">
        <x:v>-14</x:v>
      </x:c>
      <x:c r="G15" s="43" t="str">
        <x:v>12:30</x:v>
      </x:c>
      <x:c r="H15" s="43" t="str">
        <x:v>RP-1013</x:v>
      </x:c>
      <x:c r="I15" s="43" t="str"/>
      <x:c r="J15" s="43" t="str"/>
      <x:c r="K15" s="43" t="str"/>
    </x:row>
    <x:row r="16" ht="22" customHeight="1">
      <x:c r="A16" s="43" t="str">
        <x:v>RSV-0015</x:v>
      </x:c>
      <x:c r="B16" s="43" t="str">
        <x:v>PACK-0015</x:v>
      </x:c>
      <x:c r="C16" s="43" t="str">
        <x:v>USR-CLI-018</x:v>
      </x:c>
      <x:c r="D16" s="43" t="n">
        <x:v>1</x:v>
      </x:c>
      <x:c r="E16" s="43" t="str">
        <x:v>pending</x:v>
      </x:c>
      <x:c r="F16" s="43" t="n">
        <x:v>-15</x:v>
      </x:c>
      <x:c r="G16" s="43" t="str">
        <x:v>13:00</x:v>
      </x:c>
      <x:c r="H16" s="43" t="str">
        <x:v>RP-1014</x:v>
      </x:c>
      <x:c r="I16" s="43" t="str"/>
      <x:c r="J16" s="43" t="str"/>
      <x:c r="K16" s="43" t="str"/>
    </x:row>
    <x:row r="17" ht="22" customHeight="1">
      <x:c r="A17" s="43" t="str">
        <x:v>RSV-0016</x:v>
      </x:c>
      <x:c r="B17" s="43" t="str">
        <x:v>PACK-0016</x:v>
      </x:c>
      <x:c r="C17" s="43" t="str">
        <x:v>USR-CLI-025</x:v>
      </x:c>
      <x:c r="D17" s="43" t="n">
        <x:v>1</x:v>
      </x:c>
      <x:c r="E17" s="43" t="str">
        <x:v>pending</x:v>
      </x:c>
      <x:c r="F17" s="43" t="n">
        <x:v>-16</x:v>
      </x:c>
      <x:c r="G17" s="43" t="str">
        <x:v>14:30</x:v>
      </x:c>
      <x:c r="H17" s="43" t="str">
        <x:v>RP-1015</x:v>
      </x:c>
      <x:c r="I17" s="43" t="str"/>
      <x:c r="J17" s="43" t="str"/>
      <x:c r="K17" s="43" t="str"/>
    </x:row>
    <x:row r="18" ht="22" customHeight="1">
      <x:c r="A18" s="43" t="str">
        <x:v>RSV-0017</x:v>
      </x:c>
      <x:c r="B18" s="43" t="str">
        <x:v>PACK-0017</x:v>
      </x:c>
      <x:c r="C18" s="43" t="str">
        <x:v>USR-CLI-005</x:v>
      </x:c>
      <x:c r="D18" s="43" t="n">
        <x:v>1</x:v>
      </x:c>
      <x:c r="E18" s="43" t="str">
        <x:v>pending</x:v>
      </x:c>
      <x:c r="F18" s="43" t="n">
        <x:v>-17</x:v>
      </x:c>
      <x:c r="G18" s="43" t="str">
        <x:v>15:00</x:v>
      </x:c>
      <x:c r="H18" s="43" t="str">
        <x:v>RP-1016</x:v>
      </x:c>
      <x:c r="I18" s="43" t="str"/>
      <x:c r="J18" s="43" t="str"/>
      <x:c r="K18" s="43" t="str"/>
    </x:row>
    <x:row r="19" ht="22" customHeight="1">
      <x:c r="A19" s="43" t="str">
        <x:v>RSV-0018</x:v>
      </x:c>
      <x:c r="B19" s="43" t="str">
        <x:v>PACK-0018</x:v>
      </x:c>
      <x:c r="C19" s="43" t="str">
        <x:v>USR-CLI-012</x:v>
      </x:c>
      <x:c r="D19" s="43" t="n">
        <x:v>1</x:v>
      </x:c>
      <x:c r="E19" s="43" t="str">
        <x:v>pending</x:v>
      </x:c>
      <x:c r="F19" s="43" t="n">
        <x:v>-18</x:v>
      </x:c>
      <x:c r="G19" s="43" t="str">
        <x:v>16:30</x:v>
      </x:c>
      <x:c r="H19" s="43" t="str">
        <x:v>RP-1017</x:v>
      </x:c>
      <x:c r="I19" s="43" t="str"/>
      <x:c r="J19" s="43" t="str"/>
      <x:c r="K19" s="43" t="str"/>
    </x:row>
    <x:row r="20" ht="22" customHeight="1">
      <x:c r="A20" s="43" t="str">
        <x:v>RSV-0019</x:v>
      </x:c>
      <x:c r="B20" s="43" t="str">
        <x:v>PACK-0019</x:v>
      </x:c>
      <x:c r="C20" s="43" t="str">
        <x:v>USR-CLI-019</x:v>
      </x:c>
      <x:c r="D20" s="43" t="n">
        <x:v>1</x:v>
      </x:c>
      <x:c r="E20" s="43" t="str">
        <x:v>pending</x:v>
      </x:c>
      <x:c r="F20" s="43" t="n">
        <x:v>-19</x:v>
      </x:c>
      <x:c r="G20" s="43" t="str">
        <x:v>17:00</x:v>
      </x:c>
      <x:c r="H20" s="43" t="str">
        <x:v>RP-1018</x:v>
      </x:c>
      <x:c r="I20" s="43" t="str"/>
      <x:c r="J20" s="43" t="str"/>
      <x:c r="K20" s="43" t="str"/>
    </x:row>
    <x:row r="21" ht="22" customHeight="1">
      <x:c r="A21" s="43" t="str">
        <x:v>RSV-0020</x:v>
      </x:c>
      <x:c r="B21" s="43" t="str">
        <x:v>PACK-0020</x:v>
      </x:c>
      <x:c r="C21" s="43" t="str">
        <x:v>USR-CLI-026</x:v>
      </x:c>
      <x:c r="D21" s="43" t="n">
        <x:v>1</x:v>
      </x:c>
      <x:c r="E21" s="43" t="str">
        <x:v>pending</x:v>
      </x:c>
      <x:c r="F21" s="43" t="n">
        <x:v>-20</x:v>
      </x:c>
      <x:c r="G21" s="43" t="str">
        <x:v>18:30</x:v>
      </x:c>
      <x:c r="H21" s="43" t="str">
        <x:v>RP-1019</x:v>
      </x:c>
      <x:c r="I21" s="43" t="str"/>
      <x:c r="J21" s="43" t="str"/>
      <x:c r="K21" s="43" t="str"/>
    </x:row>
    <x:row r="22" ht="22" customHeight="1">
      <x:c r="A22" s="43" t="str">
        <x:v>RSV-0021</x:v>
      </x:c>
      <x:c r="B22" s="43" t="str">
        <x:v>PACK-0021</x:v>
      </x:c>
      <x:c r="C22" s="43" t="str">
        <x:v>USR-CLI-006</x:v>
      </x:c>
      <x:c r="D22" s="43" t="n">
        <x:v>1</x:v>
      </x:c>
      <x:c r="E22" s="43" t="str">
        <x:v>pending</x:v>
      </x:c>
      <x:c r="F22" s="43" t="n">
        <x:v>-21</x:v>
      </x:c>
      <x:c r="G22" s="43" t="str">
        <x:v>09:00</x:v>
      </x:c>
      <x:c r="H22" s="43" t="str">
        <x:v>RP-1020</x:v>
      </x:c>
      <x:c r="I22" s="43" t="str"/>
      <x:c r="J22" s="43" t="str"/>
      <x:c r="K22" s="43" t="str"/>
    </x:row>
    <x:row r="23" ht="22" customHeight="1">
      <x:c r="A23" s="43" t="str">
        <x:v>RSV-0022</x:v>
      </x:c>
      <x:c r="B23" s="43" t="str">
        <x:v>PACK-0022</x:v>
      </x:c>
      <x:c r="C23" s="43" t="str">
        <x:v>USR-CLI-013</x:v>
      </x:c>
      <x:c r="D23" s="43" t="n">
        <x:v>1</x:v>
      </x:c>
      <x:c r="E23" s="43" t="str">
        <x:v>pending</x:v>
      </x:c>
      <x:c r="F23" s="43" t="n">
        <x:v>-22</x:v>
      </x:c>
      <x:c r="G23" s="43" t="str">
        <x:v>10:30</x:v>
      </x:c>
      <x:c r="H23" s="43" t="str">
        <x:v>RP-1021</x:v>
      </x:c>
      <x:c r="I23" s="43" t="str"/>
      <x:c r="J23" s="43" t="str"/>
      <x:c r="K23" s="43" t="str"/>
    </x:row>
    <x:row r="24" ht="22" customHeight="1">
      <x:c r="A24" s="43" t="str">
        <x:v>RSV-0023</x:v>
      </x:c>
      <x:c r="B24" s="43" t="str">
        <x:v>PACK-0023</x:v>
      </x:c>
      <x:c r="C24" s="43" t="str">
        <x:v>USR-CLI-020</x:v>
      </x:c>
      <x:c r="D24" s="43" t="n">
        <x:v>1</x:v>
      </x:c>
      <x:c r="E24" s="43" t="str">
        <x:v>pending</x:v>
      </x:c>
      <x:c r="F24" s="43" t="n">
        <x:v>-23</x:v>
      </x:c>
      <x:c r="G24" s="43" t="str">
        <x:v>11:00</x:v>
      </x:c>
      <x:c r="H24" s="43" t="str">
        <x:v>RP-1022</x:v>
      </x:c>
      <x:c r="I24" s="43" t="str"/>
      <x:c r="J24" s="43" t="str"/>
      <x:c r="K24" s="43" t="str"/>
    </x:row>
    <x:row r="25" ht="22" customHeight="1">
      <x:c r="A25" s="43" t="str">
        <x:v>RSV-0024</x:v>
      </x:c>
      <x:c r="B25" s="43" t="str">
        <x:v>PACK-0024</x:v>
      </x:c>
      <x:c r="C25" s="43" t="str">
        <x:v>USR-CLI-027</x:v>
      </x:c>
      <x:c r="D25" s="43" t="n">
        <x:v>1</x:v>
      </x:c>
      <x:c r="E25" s="43" t="str">
        <x:v>pending</x:v>
      </x:c>
      <x:c r="F25" s="43" t="n">
        <x:v>-24</x:v>
      </x:c>
      <x:c r="G25" s="43" t="str">
        <x:v>12:30</x:v>
      </x:c>
      <x:c r="H25" s="43" t="str">
        <x:v>RP-1023</x:v>
      </x:c>
      <x:c r="I25" s="43" t="str"/>
      <x:c r="J25" s="43" t="str"/>
      <x:c r="K25" s="43" t="str"/>
    </x:row>
    <x:row r="26" ht="22" customHeight="1">
      <x:c r="A26" s="43" t="str">
        <x:v>RSV-0025</x:v>
      </x:c>
      <x:c r="B26" s="43" t="str">
        <x:v>PACK-0025</x:v>
      </x:c>
      <x:c r="C26" s="43" t="str">
        <x:v>USR-CLI-007</x:v>
      </x:c>
      <x:c r="D26" s="43" t="n">
        <x:v>1</x:v>
      </x:c>
      <x:c r="E26" s="43" t="str">
        <x:v>pending</x:v>
      </x:c>
      <x:c r="F26" s="43" t="n">
        <x:v>-25</x:v>
      </x:c>
      <x:c r="G26" s="43" t="str">
        <x:v>13:00</x:v>
      </x:c>
      <x:c r="H26" s="43" t="str">
        <x:v>RP-1024</x:v>
      </x:c>
      <x:c r="I26" s="43" t="str"/>
      <x:c r="J26" s="43" t="str"/>
      <x:c r="K26" s="43" t="str"/>
    </x:row>
    <x:row r="27" ht="22" customHeight="1">
      <x:c r="A27" s="43" t="str">
        <x:v>RSV-0026</x:v>
      </x:c>
      <x:c r="B27" s="43" t="str">
        <x:v>PACK-0026</x:v>
      </x:c>
      <x:c r="C27" s="43" t="str">
        <x:v>USR-CLI-014</x:v>
      </x:c>
      <x:c r="D27" s="43" t="n">
        <x:v>1</x:v>
      </x:c>
      <x:c r="E27" s="43" t="str">
        <x:v>pending</x:v>
      </x:c>
      <x:c r="F27" s="43" t="n">
        <x:v>-26</x:v>
      </x:c>
      <x:c r="G27" s="43" t="str">
        <x:v>14:30</x:v>
      </x:c>
      <x:c r="H27" s="43" t="str">
        <x:v>RP-1025</x:v>
      </x:c>
      <x:c r="I27" s="43" t="str"/>
      <x:c r="J27" s="43" t="str"/>
      <x:c r="K27" s="43" t="str"/>
    </x:row>
    <x:row r="28" ht="22" customHeight="1">
      <x:c r="A28" s="43" t="str">
        <x:v>RSV-0027</x:v>
      </x:c>
      <x:c r="B28" s="43" t="str">
        <x:v>PACK-0027</x:v>
      </x:c>
      <x:c r="C28" s="43" t="str">
        <x:v>USR-CLI-021</x:v>
      </x:c>
      <x:c r="D28" s="43" t="n">
        <x:v>1</x:v>
      </x:c>
      <x:c r="E28" s="43" t="str">
        <x:v>pending</x:v>
      </x:c>
      <x:c r="F28" s="43" t="n">
        <x:v>-27</x:v>
      </x:c>
      <x:c r="G28" s="43" t="str">
        <x:v>15:00</x:v>
      </x:c>
      <x:c r="H28" s="43" t="str">
        <x:v>RP-1026</x:v>
      </x:c>
      <x:c r="I28" s="43" t="str"/>
      <x:c r="J28" s="43" t="str"/>
      <x:c r="K28" s="43" t="str"/>
    </x:row>
    <x:row r="29" ht="22" customHeight="1">
      <x:c r="A29" s="43" t="str">
        <x:v>RSV-0028</x:v>
      </x:c>
      <x:c r="B29" s="43" t="str">
        <x:v>PACK-0028</x:v>
      </x:c>
      <x:c r="C29" s="43" t="str">
        <x:v>USR-CLI-001</x:v>
      </x:c>
      <x:c r="D29" s="43" t="n">
        <x:v>1</x:v>
      </x:c>
      <x:c r="E29" s="43" t="str">
        <x:v>pending</x:v>
      </x:c>
      <x:c r="F29" s="43" t="n">
        <x:v>-28</x:v>
      </x:c>
      <x:c r="G29" s="43" t="str">
        <x:v>16:30</x:v>
      </x:c>
      <x:c r="H29" s="43" t="str">
        <x:v>RP-1027</x:v>
      </x:c>
      <x:c r="I29" s="43" t="str"/>
      <x:c r="J29" s="43" t="str"/>
      <x:c r="K29" s="43" t="str"/>
    </x:row>
    <x:row r="30" ht="22" customHeight="1">
      <x:c r="A30" s="43" t="str">
        <x:v>RSV-0029</x:v>
      </x:c>
      <x:c r="B30" s="43" t="str">
        <x:v>PACK-0029</x:v>
      </x:c>
      <x:c r="C30" s="43" t="str">
        <x:v>USR-CLI-008</x:v>
      </x:c>
      <x:c r="D30" s="43" t="n">
        <x:v>1</x:v>
      </x:c>
      <x:c r="E30" s="43" t="str">
        <x:v>pending</x:v>
      </x:c>
      <x:c r="F30" s="43" t="n">
        <x:v>-29</x:v>
      </x:c>
      <x:c r="G30" s="43" t="str">
        <x:v>17:00</x:v>
      </x:c>
      <x:c r="H30" s="43" t="str">
        <x:v>RP-1028</x:v>
      </x:c>
      <x:c r="I30" s="43" t="str"/>
      <x:c r="J30" s="43" t="str"/>
      <x:c r="K30" s="43" t="str"/>
    </x:row>
    <x:row r="31" ht="22" customHeight="1">
      <x:c r="A31" s="43" t="str">
        <x:v>RSV-0030</x:v>
      </x:c>
      <x:c r="B31" s="43" t="str">
        <x:v>PACK-0030</x:v>
      </x:c>
      <x:c r="C31" s="43" t="str">
        <x:v>USR-CLI-015</x:v>
      </x:c>
      <x:c r="D31" s="43" t="n">
        <x:v>1</x:v>
      </x:c>
      <x:c r="E31" s="43" t="str">
        <x:v>pending</x:v>
      </x:c>
      <x:c r="F31" s="43" t="n">
        <x:v>-30</x:v>
      </x:c>
      <x:c r="G31" s="43" t="str">
        <x:v>18:30</x:v>
      </x:c>
      <x:c r="H31" s="43" t="str">
        <x:v>RP-1029</x:v>
      </x:c>
      <x:c r="I31" s="43" t="str"/>
      <x:c r="J31" s="43" t="str"/>
      <x:c r="K31" s="43" t="str"/>
    </x:row>
    <x:row r="32" ht="22" customHeight="1">
      <x:c r="A32" s="43" t="str">
        <x:v>RSV-0031</x:v>
      </x:c>
      <x:c r="B32" s="43" t="str">
        <x:v>PACK-0031</x:v>
      </x:c>
      <x:c r="C32" s="43" t="str">
        <x:v>USR-CLI-022</x:v>
      </x:c>
      <x:c r="D32" s="43" t="n">
        <x:v>1</x:v>
      </x:c>
      <x:c r="E32" s="43" t="str">
        <x:v>confirmed</x:v>
      </x:c>
      <x:c r="F32" s="43" t="n">
        <x:v>-31</x:v>
      </x:c>
      <x:c r="G32" s="43" t="str">
        <x:v>09:00</x:v>
      </x:c>
      <x:c r="H32" s="43" t="str">
        <x:v>RP-1030</x:v>
      </x:c>
      <x:c r="I32" s="43" t="str"/>
      <x:c r="J32" s="43" t="str"/>
      <x:c r="K32" s="43" t="str"/>
    </x:row>
    <x:row r="33" ht="22" customHeight="1">
      <x:c r="A33" s="43" t="str">
        <x:v>RSV-0032</x:v>
      </x:c>
      <x:c r="B33" s="43" t="str">
        <x:v>PACK-0032</x:v>
      </x:c>
      <x:c r="C33" s="43" t="str">
        <x:v>USR-CLI-002</x:v>
      </x:c>
      <x:c r="D33" s="43" t="n">
        <x:v>1</x:v>
      </x:c>
      <x:c r="E33" s="43" t="str">
        <x:v>confirmed</x:v>
      </x:c>
      <x:c r="F33" s="43" t="n">
        <x:v>-32</x:v>
      </x:c>
      <x:c r="G33" s="43" t="str">
        <x:v>10:30</x:v>
      </x:c>
      <x:c r="H33" s="43" t="str">
        <x:v>RP-1031</x:v>
      </x:c>
      <x:c r="I33" s="43" t="str"/>
      <x:c r="J33" s="43" t="str"/>
      <x:c r="K33" s="43" t="str"/>
    </x:row>
    <x:row r="34" ht="22" customHeight="1">
      <x:c r="A34" s="43" t="str">
        <x:v>RSV-0033</x:v>
      </x:c>
      <x:c r="B34" s="43" t="str">
        <x:v>PACK-0033</x:v>
      </x:c>
      <x:c r="C34" s="43" t="str">
        <x:v>USR-CLI-009</x:v>
      </x:c>
      <x:c r="D34" s="43" t="n">
        <x:v>1</x:v>
      </x:c>
      <x:c r="E34" s="43" t="str">
        <x:v>confirmed</x:v>
      </x:c>
      <x:c r="F34" s="43" t="n">
        <x:v>-33</x:v>
      </x:c>
      <x:c r="G34" s="43" t="str">
        <x:v>11:00</x:v>
      </x:c>
      <x:c r="H34" s="43" t="str">
        <x:v>RP-1032</x:v>
      </x:c>
      <x:c r="I34" s="43" t="str"/>
      <x:c r="J34" s="43" t="str"/>
      <x:c r="K34" s="43" t="str"/>
    </x:row>
    <x:row r="35" ht="22" customHeight="1">
      <x:c r="A35" s="43" t="str">
        <x:v>RSV-0034</x:v>
      </x:c>
      <x:c r="B35" s="43" t="str">
        <x:v>PACK-0034</x:v>
      </x:c>
      <x:c r="C35" s="43" t="str">
        <x:v>USR-CLI-016</x:v>
      </x:c>
      <x:c r="D35" s="43" t="n">
        <x:v>1</x:v>
      </x:c>
      <x:c r="E35" s="43" t="str">
        <x:v>confirmed</x:v>
      </x:c>
      <x:c r="F35" s="43" t="n">
        <x:v>-34</x:v>
      </x:c>
      <x:c r="G35" s="43" t="str">
        <x:v>12:30</x:v>
      </x:c>
      <x:c r="H35" s="43" t="str">
        <x:v>RP-1033</x:v>
      </x:c>
      <x:c r="I35" s="43" t="str"/>
      <x:c r="J35" s="43" t="str"/>
      <x:c r="K35" s="43" t="str"/>
    </x:row>
    <x:row r="36" ht="22" customHeight="1">
      <x:c r="A36" s="43" t="str">
        <x:v>RSV-0035</x:v>
      </x:c>
      <x:c r="B36" s="43" t="str">
        <x:v>PACK-0035</x:v>
      </x:c>
      <x:c r="C36" s="43" t="str">
        <x:v>USR-CLI-023</x:v>
      </x:c>
      <x:c r="D36" s="43" t="n">
        <x:v>1</x:v>
      </x:c>
      <x:c r="E36" s="43" t="str">
        <x:v>confirmed</x:v>
      </x:c>
      <x:c r="F36" s="43" t="n">
        <x:v>-35</x:v>
      </x:c>
      <x:c r="G36" s="43" t="str">
        <x:v>13:00</x:v>
      </x:c>
      <x:c r="H36" s="43" t="str">
        <x:v>RP-1034</x:v>
      </x:c>
      <x:c r="I36" s="43" t="str"/>
      <x:c r="J36" s="43" t="str"/>
      <x:c r="K36" s="43" t="str"/>
    </x:row>
    <x:row r="37" ht="22" customHeight="1">
      <x:c r="A37" s="43" t="str">
        <x:v>RSV-0036</x:v>
      </x:c>
      <x:c r="B37" s="43" t="str">
        <x:v>PACK-0036</x:v>
      </x:c>
      <x:c r="C37" s="43" t="str">
        <x:v>USR-CLI-003</x:v>
      </x:c>
      <x:c r="D37" s="43" t="n">
        <x:v>1</x:v>
      </x:c>
      <x:c r="E37" s="43" t="str">
        <x:v>confirmed</x:v>
      </x:c>
      <x:c r="F37" s="43" t="n">
        <x:v>-36</x:v>
      </x:c>
      <x:c r="G37" s="43" t="str">
        <x:v>14:30</x:v>
      </x:c>
      <x:c r="H37" s="43" t="str">
        <x:v>RP-1035</x:v>
      </x:c>
      <x:c r="I37" s="43" t="str"/>
      <x:c r="J37" s="43" t="str"/>
      <x:c r="K37" s="43" t="str"/>
    </x:row>
    <x:row r="38" ht="22" customHeight="1">
      <x:c r="A38" s="43" t="str">
        <x:v>RSV-0037</x:v>
      </x:c>
      <x:c r="B38" s="43" t="str">
        <x:v>PACK-0037</x:v>
      </x:c>
      <x:c r="C38" s="43" t="str">
        <x:v>USR-CLI-010</x:v>
      </x:c>
      <x:c r="D38" s="43" t="n">
        <x:v>1</x:v>
      </x:c>
      <x:c r="E38" s="43" t="str">
        <x:v>confirmed</x:v>
      </x:c>
      <x:c r="F38" s="43" t="n">
        <x:v>-37</x:v>
      </x:c>
      <x:c r="G38" s="43" t="str">
        <x:v>15:00</x:v>
      </x:c>
      <x:c r="H38" s="43" t="str">
        <x:v>RP-1036</x:v>
      </x:c>
      <x:c r="I38" s="43" t="str"/>
      <x:c r="J38" s="43" t="str"/>
      <x:c r="K38" s="43" t="str"/>
    </x:row>
    <x:row r="39" ht="22" customHeight="1">
      <x:c r="A39" s="43" t="str">
        <x:v>RSV-0038</x:v>
      </x:c>
      <x:c r="B39" s="43" t="str">
        <x:v>PACK-0038</x:v>
      </x:c>
      <x:c r="C39" s="43" t="str">
        <x:v>USR-CLI-017</x:v>
      </x:c>
      <x:c r="D39" s="43" t="n">
        <x:v>1</x:v>
      </x:c>
      <x:c r="E39" s="43" t="str">
        <x:v>confirmed</x:v>
      </x:c>
      <x:c r="F39" s="43" t="n">
        <x:v>-38</x:v>
      </x:c>
      <x:c r="G39" s="43" t="str">
        <x:v>16:30</x:v>
      </x:c>
      <x:c r="H39" s="43" t="str">
        <x:v>RP-1037</x:v>
      </x:c>
      <x:c r="I39" s="43" t="str"/>
      <x:c r="J39" s="43" t="str"/>
      <x:c r="K39" s="43" t="str"/>
    </x:row>
    <x:row r="40" ht="22" customHeight="1">
      <x:c r="A40" s="43" t="str">
        <x:v>RSV-0039</x:v>
      </x:c>
      <x:c r="B40" s="43" t="str">
        <x:v>PACK-0039</x:v>
      </x:c>
      <x:c r="C40" s="43" t="str">
        <x:v>USR-CLI-024</x:v>
      </x:c>
      <x:c r="D40" s="43" t="n">
        <x:v>1</x:v>
      </x:c>
      <x:c r="E40" s="43" t="str">
        <x:v>confirmed</x:v>
      </x:c>
      <x:c r="F40" s="43" t="n">
        <x:v>-39</x:v>
      </x:c>
      <x:c r="G40" s="43" t="str">
        <x:v>17:00</x:v>
      </x:c>
      <x:c r="H40" s="43" t="str">
        <x:v>RP-1038</x:v>
      </x:c>
      <x:c r="I40" s="43" t="str"/>
      <x:c r="J40" s="43" t="str"/>
      <x:c r="K40" s="43" t="str"/>
    </x:row>
    <x:row r="41" ht="22" customHeight="1">
      <x:c r="A41" s="43" t="str">
        <x:v>RSV-0040</x:v>
      </x:c>
      <x:c r="B41" s="43" t="str">
        <x:v>PACK-0040</x:v>
      </x:c>
      <x:c r="C41" s="43" t="str">
        <x:v>USR-CLI-004</x:v>
      </x:c>
      <x:c r="D41" s="43" t="n">
        <x:v>1</x:v>
      </x:c>
      <x:c r="E41" s="43" t="str">
        <x:v>confirmed</x:v>
      </x:c>
      <x:c r="F41" s="43" t="n">
        <x:v>-40</x:v>
      </x:c>
      <x:c r="G41" s="43" t="str">
        <x:v>18:30</x:v>
      </x:c>
      <x:c r="H41" s="43" t="str">
        <x:v>RP-1039</x:v>
      </x:c>
      <x:c r="I41" s="43" t="str"/>
      <x:c r="J41" s="43" t="str"/>
      <x:c r="K41" s="43" t="str"/>
    </x:row>
    <x:row r="42" ht="22" customHeight="1">
      <x:c r="A42" s="43" t="str">
        <x:v>RSV-0041</x:v>
      </x:c>
      <x:c r="B42" s="43" t="str">
        <x:v>PACK-0041</x:v>
      </x:c>
      <x:c r="C42" s="43" t="str">
        <x:v>USR-CLI-011</x:v>
      </x:c>
      <x:c r="D42" s="43" t="n">
        <x:v>1</x:v>
      </x:c>
      <x:c r="E42" s="43" t="str">
        <x:v>confirmed</x:v>
      </x:c>
      <x:c r="F42" s="43" t="n">
        <x:v>-41</x:v>
      </x:c>
      <x:c r="G42" s="43" t="str">
        <x:v>09:00</x:v>
      </x:c>
      <x:c r="H42" s="43" t="str">
        <x:v>RP-1040</x:v>
      </x:c>
      <x:c r="I42" s="43" t="str"/>
      <x:c r="J42" s="43" t="str"/>
      <x:c r="K42" s="43" t="str"/>
    </x:row>
    <x:row r="43" ht="22" customHeight="1">
      <x:c r="A43" s="43" t="str">
        <x:v>RSV-0042</x:v>
      </x:c>
      <x:c r="B43" s="43" t="str">
        <x:v>PACK-0042</x:v>
      </x:c>
      <x:c r="C43" s="43" t="str">
        <x:v>USR-CLI-018</x:v>
      </x:c>
      <x:c r="D43" s="43" t="n">
        <x:v>1</x:v>
      </x:c>
      <x:c r="E43" s="43" t="str">
        <x:v>confirmed</x:v>
      </x:c>
      <x:c r="F43" s="43" t="n">
        <x:v>-42</x:v>
      </x:c>
      <x:c r="G43" s="43" t="str">
        <x:v>10:30</x:v>
      </x:c>
      <x:c r="H43" s="43" t="str">
        <x:v>RP-1041</x:v>
      </x:c>
      <x:c r="I43" s="43" t="str"/>
      <x:c r="J43" s="43" t="str"/>
      <x:c r="K43" s="43" t="str"/>
    </x:row>
    <x:row r="44" ht="22" customHeight="1">
      <x:c r="A44" s="43" t="str">
        <x:v>RSV-0043</x:v>
      </x:c>
      <x:c r="B44" s="43" t="str">
        <x:v>PACK-0043</x:v>
      </x:c>
      <x:c r="C44" s="43" t="str">
        <x:v>USR-CLI-025</x:v>
      </x:c>
      <x:c r="D44" s="43" t="n">
        <x:v>1</x:v>
      </x:c>
      <x:c r="E44" s="43" t="str">
        <x:v>confirmed</x:v>
      </x:c>
      <x:c r="F44" s="43" t="n">
        <x:v>-1</x:v>
      </x:c>
      <x:c r="G44" s="43" t="str">
        <x:v>11:00</x:v>
      </x:c>
      <x:c r="H44" s="43" t="str">
        <x:v>RP-1042</x:v>
      </x:c>
      <x:c r="I44" s="43" t="str"/>
      <x:c r="J44" s="43" t="str"/>
      <x:c r="K44" s="43" t="str"/>
    </x:row>
    <x:row r="45" ht="22" customHeight="1">
      <x:c r="A45" s="43" t="str">
        <x:v>RSV-0044</x:v>
      </x:c>
      <x:c r="B45" s="43" t="str">
        <x:v>PACK-0044</x:v>
      </x:c>
      <x:c r="C45" s="43" t="str">
        <x:v>USR-CLI-005</x:v>
      </x:c>
      <x:c r="D45" s="43" t="n">
        <x:v>1</x:v>
      </x:c>
      <x:c r="E45" s="43" t="str">
        <x:v>confirmed</x:v>
      </x:c>
      <x:c r="F45" s="43" t="n">
        <x:v>-2</x:v>
      </x:c>
      <x:c r="G45" s="43" t="str">
        <x:v>12:30</x:v>
      </x:c>
      <x:c r="H45" s="43" t="str">
        <x:v>RP-1043</x:v>
      </x:c>
      <x:c r="I45" s="43" t="str"/>
      <x:c r="J45" s="43" t="str"/>
      <x:c r="K45" s="43" t="str"/>
    </x:row>
    <x:row r="46" ht="22" customHeight="1">
      <x:c r="A46" s="43" t="str">
        <x:v>RSV-0045</x:v>
      </x:c>
      <x:c r="B46" s="43" t="str">
        <x:v>PACK-0045</x:v>
      </x:c>
      <x:c r="C46" s="43" t="str">
        <x:v>USR-CLI-012</x:v>
      </x:c>
      <x:c r="D46" s="43" t="n">
        <x:v>1</x:v>
      </x:c>
      <x:c r="E46" s="43" t="str">
        <x:v>confirmed</x:v>
      </x:c>
      <x:c r="F46" s="43" t="n">
        <x:v>-3</x:v>
      </x:c>
      <x:c r="G46" s="43" t="str">
        <x:v>13:00</x:v>
      </x:c>
      <x:c r="H46" s="43" t="str">
        <x:v>RP-1044</x:v>
      </x:c>
      <x:c r="I46" s="43" t="str"/>
      <x:c r="J46" s="43" t="str"/>
      <x:c r="K46" s="43" t="str"/>
    </x:row>
    <x:row r="47" ht="22" customHeight="1">
      <x:c r="A47" s="43" t="str">
        <x:v>RSV-0046</x:v>
      </x:c>
      <x:c r="B47" s="43" t="str">
        <x:v>PACK-0046</x:v>
      </x:c>
      <x:c r="C47" s="43" t="str">
        <x:v>USR-CLI-019</x:v>
      </x:c>
      <x:c r="D47" s="43" t="n">
        <x:v>1</x:v>
      </x:c>
      <x:c r="E47" s="43" t="str">
        <x:v>confirmed</x:v>
      </x:c>
      <x:c r="F47" s="43" t="n">
        <x:v>-4</x:v>
      </x:c>
      <x:c r="G47" s="43" t="str">
        <x:v>14:30</x:v>
      </x:c>
      <x:c r="H47" s="43" t="str">
        <x:v>RP-1045</x:v>
      </x:c>
      <x:c r="I47" s="43" t="str"/>
      <x:c r="J47" s="43" t="str"/>
      <x:c r="K47" s="43" t="str"/>
    </x:row>
    <x:row r="48" ht="22" customHeight="1">
      <x:c r="A48" s="43" t="str">
        <x:v>RSV-0047</x:v>
      </x:c>
      <x:c r="B48" s="43" t="str">
        <x:v>PACK-0047</x:v>
      </x:c>
      <x:c r="C48" s="43" t="str">
        <x:v>USR-CLI-026</x:v>
      </x:c>
      <x:c r="D48" s="43" t="n">
        <x:v>1</x:v>
      </x:c>
      <x:c r="E48" s="43" t="str">
        <x:v>confirmed</x:v>
      </x:c>
      <x:c r="F48" s="43" t="n">
        <x:v>-5</x:v>
      </x:c>
      <x:c r="G48" s="43" t="str">
        <x:v>15:00</x:v>
      </x:c>
      <x:c r="H48" s="43" t="str">
        <x:v>RP-1046</x:v>
      </x:c>
      <x:c r="I48" s="43" t="str"/>
      <x:c r="J48" s="43" t="str"/>
      <x:c r="K48" s="43" t="str"/>
    </x:row>
    <x:row r="49" ht="22" customHeight="1">
      <x:c r="A49" s="43" t="str">
        <x:v>RSV-0048</x:v>
      </x:c>
      <x:c r="B49" s="43" t="str">
        <x:v>PACK-0048</x:v>
      </x:c>
      <x:c r="C49" s="43" t="str">
        <x:v>USR-CLI-006</x:v>
      </x:c>
      <x:c r="D49" s="43" t="n">
        <x:v>1</x:v>
      </x:c>
      <x:c r="E49" s="43" t="str">
        <x:v>confirmed</x:v>
      </x:c>
      <x:c r="F49" s="43" t="n">
        <x:v>-6</x:v>
      </x:c>
      <x:c r="G49" s="43" t="str">
        <x:v>16:30</x:v>
      </x:c>
      <x:c r="H49" s="43" t="str">
        <x:v>RP-1047</x:v>
      </x:c>
      <x:c r="I49" s="43" t="str"/>
      <x:c r="J49" s="43" t="str"/>
      <x:c r="K49" s="43" t="str"/>
    </x:row>
    <x:row r="50" ht="22" customHeight="1">
      <x:c r="A50" s="43" t="str">
        <x:v>RSV-0049</x:v>
      </x:c>
      <x:c r="B50" s="43" t="str">
        <x:v>PACK-0049</x:v>
      </x:c>
      <x:c r="C50" s="43" t="str">
        <x:v>USR-CLI-013</x:v>
      </x:c>
      <x:c r="D50" s="43" t="n">
        <x:v>1</x:v>
      </x:c>
      <x:c r="E50" s="43" t="str">
        <x:v>confirmed</x:v>
      </x:c>
      <x:c r="F50" s="43" t="n">
        <x:v>-7</x:v>
      </x:c>
      <x:c r="G50" s="43" t="str">
        <x:v>17:00</x:v>
      </x:c>
      <x:c r="H50" s="43" t="str">
        <x:v>RP-1048</x:v>
      </x:c>
      <x:c r="I50" s="43" t="str"/>
      <x:c r="J50" s="43" t="str"/>
      <x:c r="K50" s="43" t="str"/>
    </x:row>
    <x:row r="51" ht="22" customHeight="1">
      <x:c r="A51" s="43" t="str">
        <x:v>RSV-0050</x:v>
      </x:c>
      <x:c r="B51" s="43" t="str">
        <x:v>PACK-0050</x:v>
      </x:c>
      <x:c r="C51" s="43" t="str">
        <x:v>USR-CLI-020</x:v>
      </x:c>
      <x:c r="D51" s="43" t="n">
        <x:v>1</x:v>
      </x:c>
      <x:c r="E51" s="43" t="str">
        <x:v>confirmed</x:v>
      </x:c>
      <x:c r="F51" s="43" t="n">
        <x:v>-8</x:v>
      </x:c>
      <x:c r="G51" s="43" t="str">
        <x:v>18:30</x:v>
      </x:c>
      <x:c r="H51" s="43" t="str">
        <x:v>RP-1049</x:v>
      </x:c>
      <x:c r="I51" s="43" t="str"/>
      <x:c r="J51" s="43" t="str"/>
      <x:c r="K51" s="43" t="str"/>
    </x:row>
    <x:row r="52" ht="22" customHeight="1">
      <x:c r="A52" s="43" t="str">
        <x:v>RSV-0051</x:v>
      </x:c>
      <x:c r="B52" s="43" t="str">
        <x:v>PACK-0051</x:v>
      </x:c>
      <x:c r="C52" s="43" t="str">
        <x:v>USR-CLI-027</x:v>
      </x:c>
      <x:c r="D52" s="43" t="n">
        <x:v>1</x:v>
      </x:c>
      <x:c r="E52" s="43" t="str">
        <x:v>confirmed</x:v>
      </x:c>
      <x:c r="F52" s="43" t="n">
        <x:v>-9</x:v>
      </x:c>
      <x:c r="G52" s="43" t="str">
        <x:v>09:00</x:v>
      </x:c>
      <x:c r="H52" s="43" t="str">
        <x:v>RP-1050</x:v>
      </x:c>
      <x:c r="I52" s="43" t="str"/>
      <x:c r="J52" s="43" t="str"/>
      <x:c r="K52" s="43" t="str"/>
    </x:row>
    <x:row r="53" ht="22" customHeight="1">
      <x:c r="A53" s="43" t="str">
        <x:v>RSV-0052</x:v>
      </x:c>
      <x:c r="B53" s="43" t="str">
        <x:v>PACK-0052</x:v>
      </x:c>
      <x:c r="C53" s="43" t="str">
        <x:v>USR-CLI-007</x:v>
      </x:c>
      <x:c r="D53" s="43" t="n">
        <x:v>1</x:v>
      </x:c>
      <x:c r="E53" s="43" t="str">
        <x:v>confirmed</x:v>
      </x:c>
      <x:c r="F53" s="43" t="n">
        <x:v>-10</x:v>
      </x:c>
      <x:c r="G53" s="43" t="str">
        <x:v>10:30</x:v>
      </x:c>
      <x:c r="H53" s="43" t="str">
        <x:v>RP-1051</x:v>
      </x:c>
      <x:c r="I53" s="43" t="str"/>
      <x:c r="J53" s="43" t="str"/>
      <x:c r="K53" s="43" t="str"/>
    </x:row>
    <x:row r="54" ht="22" customHeight="1">
      <x:c r="A54" s="43" t="str">
        <x:v>RSV-0053</x:v>
      </x:c>
      <x:c r="B54" s="43" t="str">
        <x:v>PACK-0053</x:v>
      </x:c>
      <x:c r="C54" s="43" t="str">
        <x:v>USR-CLI-014</x:v>
      </x:c>
      <x:c r="D54" s="43" t="n">
        <x:v>1</x:v>
      </x:c>
      <x:c r="E54" s="43" t="str">
        <x:v>confirmed</x:v>
      </x:c>
      <x:c r="F54" s="43" t="n">
        <x:v>-11</x:v>
      </x:c>
      <x:c r="G54" s="43" t="str">
        <x:v>11:00</x:v>
      </x:c>
      <x:c r="H54" s="43" t="str">
        <x:v>RP-1052</x:v>
      </x:c>
      <x:c r="I54" s="43" t="str"/>
      <x:c r="J54" s="43" t="str"/>
      <x:c r="K54" s="43" t="str"/>
    </x:row>
    <x:row r="55" ht="22" customHeight="1">
      <x:c r="A55" s="43" t="str">
        <x:v>RSV-0054</x:v>
      </x:c>
      <x:c r="B55" s="43" t="str">
        <x:v>PACK-0054</x:v>
      </x:c>
      <x:c r="C55" s="43" t="str">
        <x:v>USR-CLI-021</x:v>
      </x:c>
      <x:c r="D55" s="43" t="n">
        <x:v>1</x:v>
      </x:c>
      <x:c r="E55" s="43" t="str">
        <x:v>confirmed</x:v>
      </x:c>
      <x:c r="F55" s="43" t="n">
        <x:v>-12</x:v>
      </x:c>
      <x:c r="G55" s="43" t="str">
        <x:v>12:30</x:v>
      </x:c>
      <x:c r="H55" s="43" t="str">
        <x:v>RP-1053</x:v>
      </x:c>
      <x:c r="I55" s="43" t="str"/>
      <x:c r="J55" s="43" t="str"/>
      <x:c r="K55" s="43" t="str"/>
    </x:row>
    <x:row r="56" ht="22" customHeight="1">
      <x:c r="A56" s="43" t="str">
        <x:v>RSV-0055</x:v>
      </x:c>
      <x:c r="B56" s="43" t="str">
        <x:v>PACK-0055</x:v>
      </x:c>
      <x:c r="C56" s="43" t="str">
        <x:v>USR-CLI-001</x:v>
      </x:c>
      <x:c r="D56" s="43" t="n">
        <x:v>1</x:v>
      </x:c>
      <x:c r="E56" s="43" t="str">
        <x:v>confirmed</x:v>
      </x:c>
      <x:c r="F56" s="43" t="n">
        <x:v>-13</x:v>
      </x:c>
      <x:c r="G56" s="43" t="str">
        <x:v>13:00</x:v>
      </x:c>
      <x:c r="H56" s="43" t="str">
        <x:v>RP-1054</x:v>
      </x:c>
      <x:c r="I56" s="43" t="str"/>
      <x:c r="J56" s="43" t="str"/>
      <x:c r="K56" s="43" t="str"/>
    </x:row>
    <x:row r="57" ht="22" customHeight="1">
      <x:c r="A57" s="43" t="str">
        <x:v>RSV-0056</x:v>
      </x:c>
      <x:c r="B57" s="43" t="str">
        <x:v>PACK-0056</x:v>
      </x:c>
      <x:c r="C57" s="43" t="str">
        <x:v>USR-CLI-008</x:v>
      </x:c>
      <x:c r="D57" s="43" t="n">
        <x:v>1</x:v>
      </x:c>
      <x:c r="E57" s="43" t="str">
        <x:v>confirmed</x:v>
      </x:c>
      <x:c r="F57" s="43" t="n">
        <x:v>-14</x:v>
      </x:c>
      <x:c r="G57" s="43" t="str">
        <x:v>14:30</x:v>
      </x:c>
      <x:c r="H57" s="43" t="str">
        <x:v>RP-1055</x:v>
      </x:c>
      <x:c r="I57" s="43" t="str"/>
      <x:c r="J57" s="43" t="str"/>
      <x:c r="K57" s="43" t="str"/>
    </x:row>
    <x:row r="58" ht="22" customHeight="1">
      <x:c r="A58" s="43" t="str">
        <x:v>RSV-0057</x:v>
      </x:c>
      <x:c r="B58" s="43" t="str">
        <x:v>PACK-0057</x:v>
      </x:c>
      <x:c r="C58" s="43" t="str">
        <x:v>USR-CLI-015</x:v>
      </x:c>
      <x:c r="D58" s="43" t="n">
        <x:v>1</x:v>
      </x:c>
      <x:c r="E58" s="43" t="str">
        <x:v>confirmed</x:v>
      </x:c>
      <x:c r="F58" s="43" t="n">
        <x:v>-15</x:v>
      </x:c>
      <x:c r="G58" s="43" t="str">
        <x:v>15:00</x:v>
      </x:c>
      <x:c r="H58" s="43" t="str">
        <x:v>RP-1056</x:v>
      </x:c>
      <x:c r="I58" s="43" t="str"/>
      <x:c r="J58" s="43" t="str"/>
      <x:c r="K58" s="43" t="str"/>
    </x:row>
    <x:row r="59" ht="22" customHeight="1">
      <x:c r="A59" s="43" t="str">
        <x:v>RSV-0058</x:v>
      </x:c>
      <x:c r="B59" s="43" t="str">
        <x:v>PACK-0058</x:v>
      </x:c>
      <x:c r="C59" s="43" t="str">
        <x:v>USR-CLI-022</x:v>
      </x:c>
      <x:c r="D59" s="43" t="n">
        <x:v>1</x:v>
      </x:c>
      <x:c r="E59" s="43" t="str">
        <x:v>confirmed</x:v>
      </x:c>
      <x:c r="F59" s="43" t="n">
        <x:v>-16</x:v>
      </x:c>
      <x:c r="G59" s="43" t="str">
        <x:v>16:30</x:v>
      </x:c>
      <x:c r="H59" s="43" t="str">
        <x:v>RP-1057</x:v>
      </x:c>
      <x:c r="I59" s="43" t="str"/>
      <x:c r="J59" s="43" t="str"/>
      <x:c r="K59" s="43" t="str"/>
    </x:row>
    <x:row r="60" ht="22" customHeight="1">
      <x:c r="A60" s="43" t="str">
        <x:v>RSV-0059</x:v>
      </x:c>
      <x:c r="B60" s="43" t="str">
        <x:v>PACK-0059</x:v>
      </x:c>
      <x:c r="C60" s="43" t="str">
        <x:v>USR-CLI-002</x:v>
      </x:c>
      <x:c r="D60" s="43" t="n">
        <x:v>1</x:v>
      </x:c>
      <x:c r="E60" s="43" t="str">
        <x:v>confirmed</x:v>
      </x:c>
      <x:c r="F60" s="43" t="n">
        <x:v>-17</x:v>
      </x:c>
      <x:c r="G60" s="43" t="str">
        <x:v>17:00</x:v>
      </x:c>
      <x:c r="H60" s="43" t="str">
        <x:v>RP-1058</x:v>
      </x:c>
      <x:c r="I60" s="43" t="str"/>
      <x:c r="J60" s="43" t="str"/>
      <x:c r="K60" s="43" t="str"/>
    </x:row>
    <x:row r="61" ht="22" customHeight="1">
      <x:c r="A61" s="43" t="str">
        <x:v>RSV-0060</x:v>
      </x:c>
      <x:c r="B61" s="43" t="str">
        <x:v>PACK-0060</x:v>
      </x:c>
      <x:c r="C61" s="43" t="str">
        <x:v>USR-CLI-009</x:v>
      </x:c>
      <x:c r="D61" s="43" t="n">
        <x:v>1</x:v>
      </x:c>
      <x:c r="E61" s="43" t="str">
        <x:v>confirmed</x:v>
      </x:c>
      <x:c r="F61" s="43" t="n">
        <x:v>-18</x:v>
      </x:c>
      <x:c r="G61" s="43" t="str">
        <x:v>18:30</x:v>
      </x:c>
      <x:c r="H61" s="43" t="str">
        <x:v>RP-1059</x:v>
      </x:c>
      <x:c r="I61" s="43" t="str"/>
      <x:c r="J61" s="43" t="str"/>
      <x:c r="K61" s="43" t="str"/>
    </x:row>
    <x:row r="62" ht="22" customHeight="1">
      <x:c r="A62" s="43" t="str">
        <x:v>RSV-0061</x:v>
      </x:c>
      <x:c r="B62" s="43" t="str">
        <x:v>PACK-0061</x:v>
      </x:c>
      <x:c r="C62" s="43" t="str">
        <x:v>USR-CLI-016</x:v>
      </x:c>
      <x:c r="D62" s="43" t="n">
        <x:v>1</x:v>
      </x:c>
      <x:c r="E62" s="43" t="str">
        <x:v>confirmed</x:v>
      </x:c>
      <x:c r="F62" s="43" t="n">
        <x:v>-19</x:v>
      </x:c>
      <x:c r="G62" s="43" t="str">
        <x:v>09:00</x:v>
      </x:c>
      <x:c r="H62" s="43" t="str">
        <x:v>RP-1060</x:v>
      </x:c>
      <x:c r="I62" s="43" t="str"/>
      <x:c r="J62" s="43" t="str"/>
      <x:c r="K62" s="43" t="str"/>
    </x:row>
    <x:row r="63" ht="22" customHeight="1">
      <x:c r="A63" s="43" t="str">
        <x:v>RSV-0062</x:v>
      </x:c>
      <x:c r="B63" s="43" t="str">
        <x:v>PACK-0062</x:v>
      </x:c>
      <x:c r="C63" s="43" t="str">
        <x:v>USR-CLI-023</x:v>
      </x:c>
      <x:c r="D63" s="43" t="n">
        <x:v>1</x:v>
      </x:c>
      <x:c r="E63" s="43" t="str">
        <x:v>confirmed</x:v>
      </x:c>
      <x:c r="F63" s="43" t="n">
        <x:v>-20</x:v>
      </x:c>
      <x:c r="G63" s="43" t="str">
        <x:v>10:30</x:v>
      </x:c>
      <x:c r="H63" s="43" t="str">
        <x:v>RP-1061</x:v>
      </x:c>
      <x:c r="I63" s="43" t="str"/>
      <x:c r="J63" s="43" t="str"/>
      <x:c r="K63" s="43" t="str"/>
    </x:row>
    <x:row r="64" ht="22" customHeight="1">
      <x:c r="A64" s="43" t="str">
        <x:v>RSV-0063</x:v>
      </x:c>
      <x:c r="B64" s="43" t="str">
        <x:v>PACK-0063</x:v>
      </x:c>
      <x:c r="C64" s="43" t="str">
        <x:v>USR-CLI-003</x:v>
      </x:c>
      <x:c r="D64" s="43" t="n">
        <x:v>1</x:v>
      </x:c>
      <x:c r="E64" s="43" t="str">
        <x:v>confirmed</x:v>
      </x:c>
      <x:c r="F64" s="43" t="n">
        <x:v>-21</x:v>
      </x:c>
      <x:c r="G64" s="43" t="str">
        <x:v>11:00</x:v>
      </x:c>
      <x:c r="H64" s="43" t="str">
        <x:v>RP-1062</x:v>
      </x:c>
      <x:c r="I64" s="43" t="str"/>
      <x:c r="J64" s="43" t="str"/>
      <x:c r="K64" s="43" t="str"/>
    </x:row>
    <x:row r="65" ht="22" customHeight="1">
      <x:c r="A65" s="43" t="str">
        <x:v>RSV-0064</x:v>
      </x:c>
      <x:c r="B65" s="43" t="str">
        <x:v>PACK-0064</x:v>
      </x:c>
      <x:c r="C65" s="43" t="str">
        <x:v>USR-CLI-010</x:v>
      </x:c>
      <x:c r="D65" s="43" t="n">
        <x:v>1</x:v>
      </x:c>
      <x:c r="E65" s="43" t="str">
        <x:v>confirmed</x:v>
      </x:c>
      <x:c r="F65" s="43" t="n">
        <x:v>-22</x:v>
      </x:c>
      <x:c r="G65" s="43" t="str">
        <x:v>12:30</x:v>
      </x:c>
      <x:c r="H65" s="43" t="str">
        <x:v>RP-1063</x:v>
      </x:c>
      <x:c r="I65" s="43" t="str"/>
      <x:c r="J65" s="43" t="str"/>
      <x:c r="K65" s="43" t="str"/>
    </x:row>
    <x:row r="66" ht="22" customHeight="1">
      <x:c r="A66" s="43" t="str">
        <x:v>RSV-0065</x:v>
      </x:c>
      <x:c r="B66" s="43" t="str">
        <x:v>PACK-0065</x:v>
      </x:c>
      <x:c r="C66" s="43" t="str">
        <x:v>USR-CLI-017</x:v>
      </x:c>
      <x:c r="D66" s="43" t="n">
        <x:v>1</x:v>
      </x:c>
      <x:c r="E66" s="43" t="str">
        <x:v>confirmed</x:v>
      </x:c>
      <x:c r="F66" s="43" t="n">
        <x:v>-23</x:v>
      </x:c>
      <x:c r="G66" s="43" t="str">
        <x:v>13:00</x:v>
      </x:c>
      <x:c r="H66" s="43" t="str">
        <x:v>RP-1064</x:v>
      </x:c>
      <x:c r="I66" s="43" t="str"/>
      <x:c r="J66" s="43" t="str"/>
      <x:c r="K66" s="43" t="str"/>
    </x:row>
    <x:row r="67" ht="22" customHeight="1">
      <x:c r="A67" s="43" t="str">
        <x:v>RSV-0066</x:v>
      </x:c>
      <x:c r="B67" s="43" t="str">
        <x:v>PACK-0066</x:v>
      </x:c>
      <x:c r="C67" s="43" t="str">
        <x:v>USR-CLI-024</x:v>
      </x:c>
      <x:c r="D67" s="43" t="n">
        <x:v>1</x:v>
      </x:c>
      <x:c r="E67" s="43" t="str">
        <x:v>confirmed</x:v>
      </x:c>
      <x:c r="F67" s="43" t="n">
        <x:v>-24</x:v>
      </x:c>
      <x:c r="G67" s="43" t="str">
        <x:v>14:30</x:v>
      </x:c>
      <x:c r="H67" s="43" t="str">
        <x:v>RP-1065</x:v>
      </x:c>
      <x:c r="I67" s="43" t="str"/>
      <x:c r="J67" s="43" t="str"/>
      <x:c r="K67" s="43" t="str"/>
    </x:row>
    <x:row r="68" ht="22" customHeight="1">
      <x:c r="A68" s="43" t="str">
        <x:v>RSV-0067</x:v>
      </x:c>
      <x:c r="B68" s="43" t="str">
        <x:v>PACK-0067</x:v>
      </x:c>
      <x:c r="C68" s="43" t="str">
        <x:v>USR-CLI-004</x:v>
      </x:c>
      <x:c r="D68" s="43" t="n">
        <x:v>1</x:v>
      </x:c>
      <x:c r="E68" s="43" t="str">
        <x:v>confirmed</x:v>
      </x:c>
      <x:c r="F68" s="43" t="n">
        <x:v>-25</x:v>
      </x:c>
      <x:c r="G68" s="43" t="str">
        <x:v>15:00</x:v>
      </x:c>
      <x:c r="H68" s="43" t="str">
        <x:v>RP-1066</x:v>
      </x:c>
      <x:c r="I68" s="43" t="str"/>
      <x:c r="J68" s="43" t="str"/>
      <x:c r="K68" s="43" t="str"/>
    </x:row>
    <x:row r="69" ht="22" customHeight="1">
      <x:c r="A69" s="43" t="str">
        <x:v>RSV-0068</x:v>
      </x:c>
      <x:c r="B69" s="43" t="str">
        <x:v>PACK-0068</x:v>
      </x:c>
      <x:c r="C69" s="43" t="str">
        <x:v>USR-CLI-011</x:v>
      </x:c>
      <x:c r="D69" s="43" t="n">
        <x:v>1</x:v>
      </x:c>
      <x:c r="E69" s="43" t="str">
        <x:v>confirmed</x:v>
      </x:c>
      <x:c r="F69" s="43" t="n">
        <x:v>-26</x:v>
      </x:c>
      <x:c r="G69" s="43" t="str">
        <x:v>16:30</x:v>
      </x:c>
      <x:c r="H69" s="43" t="str">
        <x:v>RP-1067</x:v>
      </x:c>
      <x:c r="I69" s="43" t="str"/>
      <x:c r="J69" s="43" t="str"/>
      <x:c r="K69" s="43" t="str"/>
    </x:row>
    <x:row r="70" ht="22" customHeight="1">
      <x:c r="A70" s="43" t="str">
        <x:v>RSV-0069</x:v>
      </x:c>
      <x:c r="B70" s="43" t="str">
        <x:v>PACK-0069</x:v>
      </x:c>
      <x:c r="C70" s="43" t="str">
        <x:v>USR-CLI-018</x:v>
      </x:c>
      <x:c r="D70" s="43" t="n">
        <x:v>1</x:v>
      </x:c>
      <x:c r="E70" s="43" t="str">
        <x:v>confirmed</x:v>
      </x:c>
      <x:c r="F70" s="43" t="n">
        <x:v>-27</x:v>
      </x:c>
      <x:c r="G70" s="43" t="str">
        <x:v>17:00</x:v>
      </x:c>
      <x:c r="H70" s="43" t="str">
        <x:v>RP-1068</x:v>
      </x:c>
      <x:c r="I70" s="43" t="str"/>
      <x:c r="J70" s="43" t="str"/>
      <x:c r="K70" s="43" t="str"/>
    </x:row>
    <x:row r="71" ht="22" customHeight="1">
      <x:c r="A71" s="43" t="str">
        <x:v>RSV-0070</x:v>
      </x:c>
      <x:c r="B71" s="43" t="str">
        <x:v>PACK-0070</x:v>
      </x:c>
      <x:c r="C71" s="43" t="str">
        <x:v>USR-CLI-025</x:v>
      </x:c>
      <x:c r="D71" s="43" t="n">
        <x:v>1</x:v>
      </x:c>
      <x:c r="E71" s="43" t="str">
        <x:v>confirmed</x:v>
      </x:c>
      <x:c r="F71" s="43" t="n">
        <x:v>-28</x:v>
      </x:c>
      <x:c r="G71" s="43" t="str">
        <x:v>18:30</x:v>
      </x:c>
      <x:c r="H71" s="43" t="str">
        <x:v>RP-1069</x:v>
      </x:c>
      <x:c r="I71" s="43" t="str"/>
      <x:c r="J71" s="43" t="str"/>
      <x:c r="K71" s="43" t="str"/>
    </x:row>
    <x:row r="72" ht="22" customHeight="1">
      <x:c r="A72" s="43" t="str">
        <x:v>RSV-0071</x:v>
      </x:c>
      <x:c r="B72" s="43" t="str">
        <x:v>PACK-0071</x:v>
      </x:c>
      <x:c r="C72" s="43" t="str">
        <x:v>USR-CLI-005</x:v>
      </x:c>
      <x:c r="D72" s="43" t="n">
        <x:v>1</x:v>
      </x:c>
      <x:c r="E72" s="43" t="str">
        <x:v>confirmed</x:v>
      </x:c>
      <x:c r="F72" s="43" t="n">
        <x:v>-29</x:v>
      </x:c>
      <x:c r="G72" s="43" t="str">
        <x:v>09:00</x:v>
      </x:c>
      <x:c r="H72" s="43" t="str">
        <x:v>RP-1070</x:v>
      </x:c>
      <x:c r="I72" s="43" t="str"/>
      <x:c r="J72" s="43" t="str"/>
      <x:c r="K72" s="43" t="str"/>
    </x:row>
    <x:row r="73" ht="22" customHeight="1">
      <x:c r="A73" s="43" t="str">
        <x:v>RSV-0072</x:v>
      </x:c>
      <x:c r="B73" s="43" t="str">
        <x:v>PACK-0072</x:v>
      </x:c>
      <x:c r="C73" s="43" t="str">
        <x:v>USR-CLI-012</x:v>
      </x:c>
      <x:c r="D73" s="43" t="n">
        <x:v>1</x:v>
      </x:c>
      <x:c r="E73" s="43" t="str">
        <x:v>confirmed</x:v>
      </x:c>
      <x:c r="F73" s="43" t="n">
        <x:v>-30</x:v>
      </x:c>
      <x:c r="G73" s="43" t="str">
        <x:v>10:30</x:v>
      </x:c>
      <x:c r="H73" s="43" t="str">
        <x:v>RP-1071</x:v>
      </x:c>
      <x:c r="I73" s="43" t="str"/>
      <x:c r="J73" s="43" t="str"/>
      <x:c r="K73" s="43" t="str"/>
    </x:row>
    <x:row r="74" ht="22" customHeight="1">
      <x:c r="A74" s="43" t="str">
        <x:v>RSV-0073</x:v>
      </x:c>
      <x:c r="B74" s="43" t="str">
        <x:v>PACK-0073</x:v>
      </x:c>
      <x:c r="C74" s="43" t="str">
        <x:v>USR-CLI-019</x:v>
      </x:c>
      <x:c r="D74" s="43" t="n">
        <x:v>1</x:v>
      </x:c>
      <x:c r="E74" s="43" t="str">
        <x:v>confirmed</x:v>
      </x:c>
      <x:c r="F74" s="43" t="n">
        <x:v>-31</x:v>
      </x:c>
      <x:c r="G74" s="43" t="str">
        <x:v>11:00</x:v>
      </x:c>
      <x:c r="H74" s="43" t="str">
        <x:v>RP-1072</x:v>
      </x:c>
      <x:c r="I74" s="43" t="str"/>
      <x:c r="J74" s="43" t="str"/>
      <x:c r="K74" s="43" t="str"/>
    </x:row>
    <x:row r="75" ht="22" customHeight="1">
      <x:c r="A75" s="43" t="str">
        <x:v>RSV-0074</x:v>
      </x:c>
      <x:c r="B75" s="43" t="str">
        <x:v>PACK-0074</x:v>
      </x:c>
      <x:c r="C75" s="43" t="str">
        <x:v>USR-CLI-026</x:v>
      </x:c>
      <x:c r="D75" s="43" t="n">
        <x:v>1</x:v>
      </x:c>
      <x:c r="E75" s="43" t="str">
        <x:v>confirmed</x:v>
      </x:c>
      <x:c r="F75" s="43" t="n">
        <x:v>-32</x:v>
      </x:c>
      <x:c r="G75" s="43" t="str">
        <x:v>12:30</x:v>
      </x:c>
      <x:c r="H75" s="43" t="str">
        <x:v>RP-1073</x:v>
      </x:c>
      <x:c r="I75" s="43" t="str"/>
      <x:c r="J75" s="43" t="str"/>
      <x:c r="K75" s="43" t="str"/>
    </x:row>
    <x:row r="76" ht="22" customHeight="1">
      <x:c r="A76" s="43" t="str">
        <x:v>RSV-0075</x:v>
      </x:c>
      <x:c r="B76" s="43" t="str">
        <x:v>PACK-0075</x:v>
      </x:c>
      <x:c r="C76" s="43" t="str">
        <x:v>USR-CLI-006</x:v>
      </x:c>
      <x:c r="D76" s="43" t="n">
        <x:v>1</x:v>
      </x:c>
      <x:c r="E76" s="43" t="str">
        <x:v>confirmed</x:v>
      </x:c>
      <x:c r="F76" s="43" t="n">
        <x:v>-33</x:v>
      </x:c>
      <x:c r="G76" s="43" t="str">
        <x:v>13:00</x:v>
      </x:c>
      <x:c r="H76" s="43" t="str">
        <x:v>RP-1074</x:v>
      </x:c>
      <x:c r="I76" s="43" t="str"/>
      <x:c r="J76" s="43" t="str"/>
      <x:c r="K76" s="43" t="str"/>
    </x:row>
    <x:row r="77" ht="22" customHeight="1">
      <x:c r="A77" s="43" t="str">
        <x:v>RSV-0076</x:v>
      </x:c>
      <x:c r="B77" s="43" t="str">
        <x:v>PACK-0076</x:v>
      </x:c>
      <x:c r="C77" s="43" t="str">
        <x:v>USR-CLI-013</x:v>
      </x:c>
      <x:c r="D77" s="43" t="n">
        <x:v>1</x:v>
      </x:c>
      <x:c r="E77" s="43" t="str">
        <x:v>confirmed</x:v>
      </x:c>
      <x:c r="F77" s="43" t="n">
        <x:v>-34</x:v>
      </x:c>
      <x:c r="G77" s="43" t="str">
        <x:v>14:30</x:v>
      </x:c>
      <x:c r="H77" s="43" t="str">
        <x:v>RP-1075</x:v>
      </x:c>
      <x:c r="I77" s="43" t="str"/>
      <x:c r="J77" s="43" t="str"/>
      <x:c r="K77" s="43" t="str"/>
    </x:row>
    <x:row r="78" ht="22" customHeight="1">
      <x:c r="A78" s="43" t="str">
        <x:v>RSV-0077</x:v>
      </x:c>
      <x:c r="B78" s="43" t="str">
        <x:v>PACK-0077</x:v>
      </x:c>
      <x:c r="C78" s="43" t="str">
        <x:v>USR-CLI-020</x:v>
      </x:c>
      <x:c r="D78" s="43" t="n">
        <x:v>1</x:v>
      </x:c>
      <x:c r="E78" s="43" t="str">
        <x:v>confirmed</x:v>
      </x:c>
      <x:c r="F78" s="43" t="n">
        <x:v>-35</x:v>
      </x:c>
      <x:c r="G78" s="43" t="str">
        <x:v>15:00</x:v>
      </x:c>
      <x:c r="H78" s="43" t="str">
        <x:v>RP-1076</x:v>
      </x:c>
      <x:c r="I78" s="43" t="str"/>
      <x:c r="J78" s="43" t="str"/>
      <x:c r="K78" s="43" t="str"/>
    </x:row>
    <x:row r="79" ht="22" customHeight="1">
      <x:c r="A79" s="43" t="str">
        <x:v>RSV-0078</x:v>
      </x:c>
      <x:c r="B79" s="43" t="str">
        <x:v>PACK-0078</x:v>
      </x:c>
      <x:c r="C79" s="43" t="str">
        <x:v>USR-CLI-027</x:v>
      </x:c>
      <x:c r="D79" s="43" t="n">
        <x:v>1</x:v>
      </x:c>
      <x:c r="E79" s="43" t="str">
        <x:v>confirmed</x:v>
      </x:c>
      <x:c r="F79" s="43" t="n">
        <x:v>-36</x:v>
      </x:c>
      <x:c r="G79" s="43" t="str">
        <x:v>16:30</x:v>
      </x:c>
      <x:c r="H79" s="43" t="str">
        <x:v>RP-1077</x:v>
      </x:c>
      <x:c r="I79" s="43" t="str"/>
      <x:c r="J79" s="43" t="str"/>
      <x:c r="K79" s="43" t="str"/>
    </x:row>
    <x:row r="80" ht="22" customHeight="1">
      <x:c r="A80" s="43" t="str">
        <x:v>RSV-0079</x:v>
      </x:c>
      <x:c r="B80" s="43" t="str">
        <x:v>PACK-0079</x:v>
      </x:c>
      <x:c r="C80" s="43" t="str">
        <x:v>USR-CLI-007</x:v>
      </x:c>
      <x:c r="D80" s="43" t="n">
        <x:v>1</x:v>
      </x:c>
      <x:c r="E80" s="43" t="str">
        <x:v>confirmed</x:v>
      </x:c>
      <x:c r="F80" s="43" t="n">
        <x:v>-37</x:v>
      </x:c>
      <x:c r="G80" s="43" t="str">
        <x:v>17:00</x:v>
      </x:c>
      <x:c r="H80" s="43" t="str">
        <x:v>RP-1078</x:v>
      </x:c>
      <x:c r="I80" s="43" t="str"/>
      <x:c r="J80" s="43" t="str"/>
      <x:c r="K80" s="43" t="str"/>
    </x:row>
    <x:row r="81" ht="22" customHeight="1">
      <x:c r="A81" s="43" t="str">
        <x:v>RSV-0080</x:v>
      </x:c>
      <x:c r="B81" s="43" t="str">
        <x:v>PACK-0080</x:v>
      </x:c>
      <x:c r="C81" s="43" t="str">
        <x:v>USR-CLI-014</x:v>
      </x:c>
      <x:c r="D81" s="43" t="n">
        <x:v>1</x:v>
      </x:c>
      <x:c r="E81" s="43" t="str">
        <x:v>confirmed</x:v>
      </x:c>
      <x:c r="F81" s="43" t="n">
        <x:v>-38</x:v>
      </x:c>
      <x:c r="G81" s="43" t="str">
        <x:v>18:30</x:v>
      </x:c>
      <x:c r="H81" s="43" t="str">
        <x:v>RP-1079</x:v>
      </x:c>
      <x:c r="I81" s="43" t="str"/>
      <x:c r="J81" s="43" t="str"/>
      <x:c r="K81" s="43" t="str"/>
    </x:row>
    <x:row r="82" ht="22" customHeight="1">
      <x:c r="A82" s="43" t="str">
        <x:v>RSV-0081</x:v>
      </x:c>
      <x:c r="B82" s="43" t="str">
        <x:v>PACK-0081</x:v>
      </x:c>
      <x:c r="C82" s="43" t="str">
        <x:v>USR-CLI-021</x:v>
      </x:c>
      <x:c r="D82" s="43" t="n">
        <x:v>1</x:v>
      </x:c>
      <x:c r="E82" s="43" t="str">
        <x:v>collected</x:v>
      </x:c>
      <x:c r="F82" s="43" t="n">
        <x:v>-39</x:v>
      </x:c>
      <x:c r="G82" s="43" t="str">
        <x:v>09:00</x:v>
      </x:c>
      <x:c r="H82" s="43" t="str">
        <x:v>RP-1080</x:v>
      </x:c>
      <x:c r="I82" s="43" t="n">
        <x:v>5</x:v>
      </x:c>
      <x:c r="J82" s="43" t="str"/>
      <x:c r="K82" s="43" t="str"/>
    </x:row>
    <x:row r="83" ht="22" customHeight="1">
      <x:c r="A83" s="43" t="str">
        <x:v>RSV-0082</x:v>
      </x:c>
      <x:c r="B83" s="43" t="str">
        <x:v>PACK-0082</x:v>
      </x:c>
      <x:c r="C83" s="43" t="str">
        <x:v>USR-CLI-001</x:v>
      </x:c>
      <x:c r="D83" s="43" t="n">
        <x:v>1</x:v>
      </x:c>
      <x:c r="E83" s="43" t="str">
        <x:v>collected</x:v>
      </x:c>
      <x:c r="F83" s="43" t="n">
        <x:v>-40</x:v>
      </x:c>
      <x:c r="G83" s="43" t="str">
        <x:v>10:30</x:v>
      </x:c>
      <x:c r="H83" s="43" t="str">
        <x:v>RP-1081</x:v>
      </x:c>
      <x:c r="I83" s="43" t="n">
        <x:v>3</x:v>
      </x:c>
      <x:c r="J83" s="43" t="str">
        <x:v>Recogida rápida y producto en muy buen estado.</x:v>
      </x:c>
      <x:c r="K83" s="43" t="str"/>
    </x:row>
    <x:row r="84" ht="22" customHeight="1">
      <x:c r="A84" s="43" t="str">
        <x:v>RSV-0083</x:v>
      </x:c>
      <x:c r="B84" s="43" t="str">
        <x:v>PACK-0083</x:v>
      </x:c>
      <x:c r="C84" s="43" t="str">
        <x:v>USR-CLI-008</x:v>
      </x:c>
      <x:c r="D84" s="43" t="n">
        <x:v>1</x:v>
      </x:c>
      <x:c r="E84" s="43" t="str">
        <x:v>collected</x:v>
      </x:c>
      <x:c r="F84" s="43" t="n">
        <x:v>-41</x:v>
      </x:c>
      <x:c r="G84" s="43" t="str">
        <x:v>11:00</x:v>
      </x:c>
      <x:c r="H84" s="43" t="str">
        <x:v>RP-1082</x:v>
      </x:c>
      <x:c r="I84" s="43" t="n">
        <x:v>4</x:v>
      </x:c>
      <x:c r="J84" s="43" t="str"/>
      <x:c r="K84" s="43" t="str"/>
    </x:row>
    <x:row r="85" ht="22" customHeight="1">
      <x:c r="A85" s="43" t="str">
        <x:v>RSV-0084</x:v>
      </x:c>
      <x:c r="B85" s="43" t="str">
        <x:v>PACK-0084</x:v>
      </x:c>
      <x:c r="C85" s="43" t="str">
        <x:v>USR-CLI-015</x:v>
      </x:c>
      <x:c r="D85" s="43" t="n">
        <x:v>1</x:v>
      </x:c>
      <x:c r="E85" s="43" t="str">
        <x:v>collected</x:v>
      </x:c>
      <x:c r="F85" s="43" t="n">
        <x:v>-42</x:v>
      </x:c>
      <x:c r="G85" s="43" t="str">
        <x:v>12:30</x:v>
      </x:c>
      <x:c r="H85" s="43" t="str">
        <x:v>RP-1083</x:v>
      </x:c>
      <x:c r="I85" s="43" t="n">
        <x:v>5</x:v>
      </x:c>
      <x:c r="J85" s="43" t="str"/>
      <x:c r="K85" s="43" t="str"/>
    </x:row>
    <x:row r="86" ht="22" customHeight="1">
      <x:c r="A86" s="43" t="str">
        <x:v>RSV-0085</x:v>
      </x:c>
      <x:c r="B86" s="43" t="str">
        <x:v>PACK-0085</x:v>
      </x:c>
      <x:c r="C86" s="43" t="str">
        <x:v>USR-CLI-022</x:v>
      </x:c>
      <x:c r="D86" s="43" t="n">
        <x:v>1</x:v>
      </x:c>
      <x:c r="E86" s="43" t="str">
        <x:v>collected</x:v>
      </x:c>
      <x:c r="F86" s="43" t="n">
        <x:v>-1</x:v>
      </x:c>
      <x:c r="G86" s="43" t="str">
        <x:v>13:00</x:v>
      </x:c>
      <x:c r="H86" s="43" t="str">
        <x:v>RP-1084</x:v>
      </x:c>
      <x:c r="I86" s="43" t="n">
        <x:v>3</x:v>
      </x:c>
      <x:c r="J86" s="43" t="str">
        <x:v>Recogida rápida y producto en muy buen estado.</x:v>
      </x:c>
      <x:c r="K86" s="43" t="str"/>
    </x:row>
    <x:row r="87" ht="22" customHeight="1">
      <x:c r="A87" s="43" t="str">
        <x:v>RSV-0086</x:v>
      </x:c>
      <x:c r="B87" s="43" t="str">
        <x:v>PACK-0086</x:v>
      </x:c>
      <x:c r="C87" s="43" t="str">
        <x:v>USR-CLI-002</x:v>
      </x:c>
      <x:c r="D87" s="43" t="n">
        <x:v>1</x:v>
      </x:c>
      <x:c r="E87" s="43" t="str">
        <x:v>collected</x:v>
      </x:c>
      <x:c r="F87" s="43" t="n">
        <x:v>-2</x:v>
      </x:c>
      <x:c r="G87" s="43" t="str">
        <x:v>14:30</x:v>
      </x:c>
      <x:c r="H87" s="43" t="str">
        <x:v>RP-1085</x:v>
      </x:c>
      <x:c r="I87" s="43" t="n">
        <x:v>4</x:v>
      </x:c>
      <x:c r="J87" s="43" t="str"/>
      <x:c r="K87" s="43" t="str"/>
    </x:row>
    <x:row r="88" ht="22" customHeight="1">
      <x:c r="A88" s="43" t="str">
        <x:v>RSV-0087</x:v>
      </x:c>
      <x:c r="B88" s="43" t="str">
        <x:v>PACK-0087</x:v>
      </x:c>
      <x:c r="C88" s="43" t="str">
        <x:v>USR-CLI-009</x:v>
      </x:c>
      <x:c r="D88" s="43" t="n">
        <x:v>1</x:v>
      </x:c>
      <x:c r="E88" s="43" t="str">
        <x:v>collected</x:v>
      </x:c>
      <x:c r="F88" s="43" t="n">
        <x:v>-3</x:v>
      </x:c>
      <x:c r="G88" s="43" t="str">
        <x:v>15:00</x:v>
      </x:c>
      <x:c r="H88" s="43" t="str">
        <x:v>RP-1086</x:v>
      </x:c>
      <x:c r="I88" s="43" t="n">
        <x:v>5</x:v>
      </x:c>
      <x:c r="J88" s="43" t="str"/>
      <x:c r="K88" s="43" t="str"/>
    </x:row>
    <x:row r="89" ht="22" customHeight="1">
      <x:c r="A89" s="43" t="str">
        <x:v>RSV-0088</x:v>
      </x:c>
      <x:c r="B89" s="43" t="str">
        <x:v>PACK-0088</x:v>
      </x:c>
      <x:c r="C89" s="43" t="str">
        <x:v>USR-CLI-016</x:v>
      </x:c>
      <x:c r="D89" s="43" t="n">
        <x:v>1</x:v>
      </x:c>
      <x:c r="E89" s="43" t="str">
        <x:v>collected</x:v>
      </x:c>
      <x:c r="F89" s="43" t="n">
        <x:v>-4</x:v>
      </x:c>
      <x:c r="G89" s="43" t="str">
        <x:v>16:30</x:v>
      </x:c>
      <x:c r="H89" s="43" t="str">
        <x:v>RP-1087</x:v>
      </x:c>
      <x:c r="I89" s="43" t="n">
        <x:v>3</x:v>
      </x:c>
      <x:c r="J89" s="43" t="str">
        <x:v>Recogida rápida y producto en muy buen estado.</x:v>
      </x:c>
      <x:c r="K89" s="43" t="str"/>
    </x:row>
    <x:row r="90" ht="22" customHeight="1">
      <x:c r="A90" s="43" t="str">
        <x:v>RSV-0089</x:v>
      </x:c>
      <x:c r="B90" s="43" t="str">
        <x:v>PACK-0089</x:v>
      </x:c>
      <x:c r="C90" s="43" t="str">
        <x:v>USR-CLI-023</x:v>
      </x:c>
      <x:c r="D90" s="43" t="n">
        <x:v>1</x:v>
      </x:c>
      <x:c r="E90" s="43" t="str">
        <x:v>collected</x:v>
      </x:c>
      <x:c r="F90" s="43" t="n">
        <x:v>-5</x:v>
      </x:c>
      <x:c r="G90" s="43" t="str">
        <x:v>17:00</x:v>
      </x:c>
      <x:c r="H90" s="43" t="str">
        <x:v>RP-1088</x:v>
      </x:c>
      <x:c r="I90" s="43" t="n">
        <x:v>4</x:v>
      </x:c>
      <x:c r="J90" s="43" t="str"/>
      <x:c r="K90" s="43" t="str"/>
    </x:row>
    <x:row r="91" ht="22" customHeight="1">
      <x:c r="A91" s="43" t="str">
        <x:v>RSV-0090</x:v>
      </x:c>
      <x:c r="B91" s="43" t="str">
        <x:v>PACK-0090</x:v>
      </x:c>
      <x:c r="C91" s="43" t="str">
        <x:v>USR-CLI-003</x:v>
      </x:c>
      <x:c r="D91" s="43" t="n">
        <x:v>1</x:v>
      </x:c>
      <x:c r="E91" s="43" t="str">
        <x:v>collected</x:v>
      </x:c>
      <x:c r="F91" s="43" t="n">
        <x:v>-6</x:v>
      </x:c>
      <x:c r="G91" s="43" t="str">
        <x:v>18:30</x:v>
      </x:c>
      <x:c r="H91" s="43" t="str">
        <x:v>RP-1089</x:v>
      </x:c>
      <x:c r="I91" s="43" t="n">
        <x:v>5</x:v>
      </x:c>
      <x:c r="J91" s="43" t="str"/>
      <x:c r="K91" s="43" t="str"/>
    </x:row>
    <x:row r="92" ht="22" customHeight="1">
      <x:c r="A92" s="43" t="str">
        <x:v>RSV-0091</x:v>
      </x:c>
      <x:c r="B92" s="43" t="str">
        <x:v>PACK-0091</x:v>
      </x:c>
      <x:c r="C92" s="43" t="str">
        <x:v>USR-CLI-010</x:v>
      </x:c>
      <x:c r="D92" s="43" t="n">
        <x:v>1</x:v>
      </x:c>
      <x:c r="E92" s="43" t="str">
        <x:v>collected</x:v>
      </x:c>
      <x:c r="F92" s="43" t="n">
        <x:v>-7</x:v>
      </x:c>
      <x:c r="G92" s="43" t="str">
        <x:v>09:00</x:v>
      </x:c>
      <x:c r="H92" s="43" t="str">
        <x:v>RP-1090</x:v>
      </x:c>
      <x:c r="I92" s="43" t="n">
        <x:v>3</x:v>
      </x:c>
      <x:c r="J92" s="43" t="str">
        <x:v>Recogida rápida y producto en muy buen estado.</x:v>
      </x:c>
      <x:c r="K92" s="43" t="str"/>
    </x:row>
    <x:row r="93" ht="22" customHeight="1">
      <x:c r="A93" s="43" t="str">
        <x:v>RSV-0092</x:v>
      </x:c>
      <x:c r="B93" s="43" t="str">
        <x:v>PACK-0092</x:v>
      </x:c>
      <x:c r="C93" s="43" t="str">
        <x:v>USR-CLI-017</x:v>
      </x:c>
      <x:c r="D93" s="43" t="n">
        <x:v>1</x:v>
      </x:c>
      <x:c r="E93" s="43" t="str">
        <x:v>collected</x:v>
      </x:c>
      <x:c r="F93" s="43" t="n">
        <x:v>-8</x:v>
      </x:c>
      <x:c r="G93" s="43" t="str">
        <x:v>10:30</x:v>
      </x:c>
      <x:c r="H93" s="43" t="str">
        <x:v>RP-1091</x:v>
      </x:c>
      <x:c r="I93" s="43" t="n">
        <x:v>4</x:v>
      </x:c>
      <x:c r="J93" s="43" t="str"/>
      <x:c r="K93" s="43" t="str"/>
    </x:row>
    <x:row r="94" ht="22" customHeight="1">
      <x:c r="A94" s="43" t="str">
        <x:v>RSV-0093</x:v>
      </x:c>
      <x:c r="B94" s="43" t="str">
        <x:v>PACK-0093</x:v>
      </x:c>
      <x:c r="C94" s="43" t="str">
        <x:v>USR-CLI-024</x:v>
      </x:c>
      <x:c r="D94" s="43" t="n">
        <x:v>1</x:v>
      </x:c>
      <x:c r="E94" s="43" t="str">
        <x:v>collected</x:v>
      </x:c>
      <x:c r="F94" s="43" t="n">
        <x:v>-9</x:v>
      </x:c>
      <x:c r="G94" s="43" t="str">
        <x:v>11:00</x:v>
      </x:c>
      <x:c r="H94" s="43" t="str">
        <x:v>RP-1092</x:v>
      </x:c>
      <x:c r="I94" s="43" t="n">
        <x:v>5</x:v>
      </x:c>
      <x:c r="J94" s="43" t="str"/>
      <x:c r="K94" s="43" t="str"/>
    </x:row>
    <x:row r="95" ht="22" customHeight="1">
      <x:c r="A95" s="43" t="str">
        <x:v>RSV-0094</x:v>
      </x:c>
      <x:c r="B95" s="43" t="str">
        <x:v>PACK-0094</x:v>
      </x:c>
      <x:c r="C95" s="43" t="str">
        <x:v>USR-CLI-004</x:v>
      </x:c>
      <x:c r="D95" s="43" t="n">
        <x:v>1</x:v>
      </x:c>
      <x:c r="E95" s="43" t="str">
        <x:v>collected</x:v>
      </x:c>
      <x:c r="F95" s="43" t="n">
        <x:v>-10</x:v>
      </x:c>
      <x:c r="G95" s="43" t="str">
        <x:v>12:30</x:v>
      </x:c>
      <x:c r="H95" s="43" t="str">
        <x:v>RP-1093</x:v>
      </x:c>
      <x:c r="I95" s="43" t="n">
        <x:v>3</x:v>
      </x:c>
      <x:c r="J95" s="43" t="str">
        <x:v>Recogida rápida y producto en muy buen estado.</x:v>
      </x:c>
      <x:c r="K95" s="43" t="str"/>
    </x:row>
    <x:row r="96" ht="22" customHeight="1">
      <x:c r="A96" s="43" t="str">
        <x:v>RSV-0095</x:v>
      </x:c>
      <x:c r="B96" s="43" t="str">
        <x:v>PACK-0095</x:v>
      </x:c>
      <x:c r="C96" s="43" t="str">
        <x:v>USR-CLI-011</x:v>
      </x:c>
      <x:c r="D96" s="43" t="n">
        <x:v>1</x:v>
      </x:c>
      <x:c r="E96" s="43" t="str">
        <x:v>collected</x:v>
      </x:c>
      <x:c r="F96" s="43" t="n">
        <x:v>-11</x:v>
      </x:c>
      <x:c r="G96" s="43" t="str">
        <x:v>13:00</x:v>
      </x:c>
      <x:c r="H96" s="43" t="str">
        <x:v>RP-1094</x:v>
      </x:c>
      <x:c r="I96" s="43" t="n">
        <x:v>4</x:v>
      </x:c>
      <x:c r="J96" s="43" t="str"/>
      <x:c r="K96" s="43" t="str"/>
    </x:row>
    <x:row r="97" ht="22" customHeight="1">
      <x:c r="A97" s="43" t="str">
        <x:v>RSV-0096</x:v>
      </x:c>
      <x:c r="B97" s="43" t="str">
        <x:v>PACK-0096</x:v>
      </x:c>
      <x:c r="C97" s="43" t="str">
        <x:v>USR-CLI-018</x:v>
      </x:c>
      <x:c r="D97" s="43" t="n">
        <x:v>1</x:v>
      </x:c>
      <x:c r="E97" s="43" t="str">
        <x:v>collected</x:v>
      </x:c>
      <x:c r="F97" s="43" t="n">
        <x:v>-12</x:v>
      </x:c>
      <x:c r="G97" s="43" t="str">
        <x:v>14:30</x:v>
      </x:c>
      <x:c r="H97" s="43" t="str">
        <x:v>RP-1095</x:v>
      </x:c>
      <x:c r="I97" s="43" t="n">
        <x:v>5</x:v>
      </x:c>
      <x:c r="J97" s="43" t="str"/>
      <x:c r="K97" s="43" t="str"/>
    </x:row>
    <x:row r="98" ht="22" customHeight="1">
      <x:c r="A98" s="43" t="str">
        <x:v>RSV-0097</x:v>
      </x:c>
      <x:c r="B98" s="43" t="str">
        <x:v>PACK-0097</x:v>
      </x:c>
      <x:c r="C98" s="43" t="str">
        <x:v>USR-CLI-025</x:v>
      </x:c>
      <x:c r="D98" s="43" t="n">
        <x:v>1</x:v>
      </x:c>
      <x:c r="E98" s="43" t="str">
        <x:v>collected</x:v>
      </x:c>
      <x:c r="F98" s="43" t="n">
        <x:v>-13</x:v>
      </x:c>
      <x:c r="G98" s="43" t="str">
        <x:v>15:00</x:v>
      </x:c>
      <x:c r="H98" s="43" t="str">
        <x:v>RP-1096</x:v>
      </x:c>
      <x:c r="I98" s="43" t="n">
        <x:v>3</x:v>
      </x:c>
      <x:c r="J98" s="43" t="str">
        <x:v>Recogida rápida y producto en muy buen estado.</x:v>
      </x:c>
      <x:c r="K98" s="43" t="str"/>
    </x:row>
    <x:row r="99" ht="22" customHeight="1">
      <x:c r="A99" s="43" t="str">
        <x:v>RSV-0098</x:v>
      </x:c>
      <x:c r="B99" s="43" t="str">
        <x:v>PACK-0098</x:v>
      </x:c>
      <x:c r="C99" s="43" t="str">
        <x:v>USR-CLI-005</x:v>
      </x:c>
      <x:c r="D99" s="43" t="n">
        <x:v>1</x:v>
      </x:c>
      <x:c r="E99" s="43" t="str">
        <x:v>collected</x:v>
      </x:c>
      <x:c r="F99" s="43" t="n">
        <x:v>-14</x:v>
      </x:c>
      <x:c r="G99" s="43" t="str">
        <x:v>16:30</x:v>
      </x:c>
      <x:c r="H99" s="43" t="str">
        <x:v>RP-1097</x:v>
      </x:c>
      <x:c r="I99" s="43" t="n">
        <x:v>4</x:v>
      </x:c>
      <x:c r="J99" s="43" t="str"/>
      <x:c r="K99" s="43" t="str"/>
    </x:row>
    <x:row r="100" ht="22" customHeight="1">
      <x:c r="A100" s="43" t="str">
        <x:v>RSV-0099</x:v>
      </x:c>
      <x:c r="B100" s="43" t="str">
        <x:v>PACK-0099</x:v>
      </x:c>
      <x:c r="C100" s="43" t="str">
        <x:v>USR-CLI-012</x:v>
      </x:c>
      <x:c r="D100" s="43" t="n">
        <x:v>1</x:v>
      </x:c>
      <x:c r="E100" s="43" t="str">
        <x:v>collected</x:v>
      </x:c>
      <x:c r="F100" s="43" t="n">
        <x:v>-15</x:v>
      </x:c>
      <x:c r="G100" s="43" t="str">
        <x:v>17:00</x:v>
      </x:c>
      <x:c r="H100" s="43" t="str">
        <x:v>RP-1098</x:v>
      </x:c>
      <x:c r="I100" s="43" t="n">
        <x:v>5</x:v>
      </x:c>
      <x:c r="J100" s="43" t="str"/>
      <x:c r="K100" s="43" t="str"/>
    </x:row>
    <x:row r="101" ht="22" customHeight="1">
      <x:c r="A101" s="43" t="str">
        <x:v>RSV-0100</x:v>
      </x:c>
      <x:c r="B101" s="43" t="str">
        <x:v>PACK-0100</x:v>
      </x:c>
      <x:c r="C101" s="43" t="str">
        <x:v>USR-CLI-019</x:v>
      </x:c>
      <x:c r="D101" s="43" t="n">
        <x:v>1</x:v>
      </x:c>
      <x:c r="E101" s="43" t="str">
        <x:v>collected</x:v>
      </x:c>
      <x:c r="F101" s="43" t="n">
        <x:v>-16</x:v>
      </x:c>
      <x:c r="G101" s="43" t="str">
        <x:v>18:30</x:v>
      </x:c>
      <x:c r="H101" s="43" t="str">
        <x:v>RP-1099</x:v>
      </x:c>
      <x:c r="I101" s="43" t="n">
        <x:v>3</x:v>
      </x:c>
      <x:c r="J101" s="43" t="str">
        <x:v>Recogida rápida y producto en muy buen estado.</x:v>
      </x:c>
      <x:c r="K101" s="43" t="str"/>
    </x:row>
    <x:row r="102" ht="22" customHeight="1">
      <x:c r="A102" s="43" t="str">
        <x:v>RSV-0101</x:v>
      </x:c>
      <x:c r="B102" s="43" t="str">
        <x:v>PACK-0101</x:v>
      </x:c>
      <x:c r="C102" s="43" t="str">
        <x:v>USR-CLI-026</x:v>
      </x:c>
      <x:c r="D102" s="43" t="n">
        <x:v>1</x:v>
      </x:c>
      <x:c r="E102" s="43" t="str">
        <x:v>collected</x:v>
      </x:c>
      <x:c r="F102" s="43" t="n">
        <x:v>-17</x:v>
      </x:c>
      <x:c r="G102" s="43" t="str">
        <x:v>09:00</x:v>
      </x:c>
      <x:c r="H102" s="43" t="str">
        <x:v>RP-1100</x:v>
      </x:c>
      <x:c r="I102" s="43" t="n">
        <x:v>4</x:v>
      </x:c>
      <x:c r="J102" s="43" t="str"/>
      <x:c r="K102" s="43" t="str"/>
    </x:row>
    <x:row r="103" ht="22" customHeight="1">
      <x:c r="A103" s="43" t="str">
        <x:v>RSV-0102</x:v>
      </x:c>
      <x:c r="B103" s="43" t="str">
        <x:v>PACK-0102</x:v>
      </x:c>
      <x:c r="C103" s="43" t="str">
        <x:v>USR-CLI-006</x:v>
      </x:c>
      <x:c r="D103" s="43" t="n">
        <x:v>1</x:v>
      </x:c>
      <x:c r="E103" s="43" t="str">
        <x:v>collected</x:v>
      </x:c>
      <x:c r="F103" s="43" t="n">
        <x:v>-18</x:v>
      </x:c>
      <x:c r="G103" s="43" t="str">
        <x:v>10:30</x:v>
      </x:c>
      <x:c r="H103" s="43" t="str">
        <x:v>RP-1101</x:v>
      </x:c>
      <x:c r="I103" s="43" t="n">
        <x:v>5</x:v>
      </x:c>
      <x:c r="J103" s="43" t="str"/>
      <x:c r="K103" s="43" t="str"/>
    </x:row>
    <x:row r="104" ht="22" customHeight="1">
      <x:c r="A104" s="43" t="str">
        <x:v>RSV-0103</x:v>
      </x:c>
      <x:c r="B104" s="43" t="str">
        <x:v>PACK-0103</x:v>
      </x:c>
      <x:c r="C104" s="43" t="str">
        <x:v>USR-CLI-013</x:v>
      </x:c>
      <x:c r="D104" s="43" t="n">
        <x:v>1</x:v>
      </x:c>
      <x:c r="E104" s="43" t="str">
        <x:v>collected</x:v>
      </x:c>
      <x:c r="F104" s="43" t="n">
        <x:v>-19</x:v>
      </x:c>
      <x:c r="G104" s="43" t="str">
        <x:v>11:00</x:v>
      </x:c>
      <x:c r="H104" s="43" t="str">
        <x:v>RP-1102</x:v>
      </x:c>
      <x:c r="I104" s="43" t="n">
        <x:v>3</x:v>
      </x:c>
      <x:c r="J104" s="43" t="str">
        <x:v>Recogida rápida y producto en muy buen estado.</x:v>
      </x:c>
      <x:c r="K104" s="43" t="str"/>
    </x:row>
    <x:row r="105" ht="22" customHeight="1">
      <x:c r="A105" s="43" t="str">
        <x:v>RSV-0104</x:v>
      </x:c>
      <x:c r="B105" s="43" t="str">
        <x:v>PACK-0104</x:v>
      </x:c>
      <x:c r="C105" s="43" t="str">
        <x:v>USR-CLI-020</x:v>
      </x:c>
      <x:c r="D105" s="43" t="n">
        <x:v>1</x:v>
      </x:c>
      <x:c r="E105" s="43" t="str">
        <x:v>collected</x:v>
      </x:c>
      <x:c r="F105" s="43" t="n">
        <x:v>-20</x:v>
      </x:c>
      <x:c r="G105" s="43" t="str">
        <x:v>12:30</x:v>
      </x:c>
      <x:c r="H105" s="43" t="str">
        <x:v>RP-1103</x:v>
      </x:c>
      <x:c r="I105" s="43" t="n">
        <x:v>4</x:v>
      </x:c>
      <x:c r="J105" s="43" t="str"/>
      <x:c r="K105" s="43" t="str"/>
    </x:row>
    <x:row r="106" ht="22" customHeight="1">
      <x:c r="A106" s="43" t="str">
        <x:v>RSV-0105</x:v>
      </x:c>
      <x:c r="B106" s="43" t="str">
        <x:v>PACK-0105</x:v>
      </x:c>
      <x:c r="C106" s="43" t="str">
        <x:v>USR-CLI-027</x:v>
      </x:c>
      <x:c r="D106" s="43" t="n">
        <x:v>1</x:v>
      </x:c>
      <x:c r="E106" s="43" t="str">
        <x:v>collected</x:v>
      </x:c>
      <x:c r="F106" s="43" t="n">
        <x:v>-21</x:v>
      </x:c>
      <x:c r="G106" s="43" t="str">
        <x:v>13:00</x:v>
      </x:c>
      <x:c r="H106" s="43" t="str">
        <x:v>RP-1104</x:v>
      </x:c>
      <x:c r="I106" s="43" t="n">
        <x:v>5</x:v>
      </x:c>
      <x:c r="J106" s="43" t="str"/>
      <x:c r="K106" s="43" t="str"/>
    </x:row>
    <x:row r="107" ht="22" customHeight="1">
      <x:c r="A107" s="43" t="str">
        <x:v>RSV-0106</x:v>
      </x:c>
      <x:c r="B107" s="43" t="str">
        <x:v>PACK-0106</x:v>
      </x:c>
      <x:c r="C107" s="43" t="str">
        <x:v>USR-CLI-007</x:v>
      </x:c>
      <x:c r="D107" s="43" t="n">
        <x:v>1</x:v>
      </x:c>
      <x:c r="E107" s="43" t="str">
        <x:v>collected</x:v>
      </x:c>
      <x:c r="F107" s="43" t="n">
        <x:v>-22</x:v>
      </x:c>
      <x:c r="G107" s="43" t="str">
        <x:v>14:30</x:v>
      </x:c>
      <x:c r="H107" s="43" t="str">
        <x:v>RP-1105</x:v>
      </x:c>
      <x:c r="I107" s="43" t="n">
        <x:v>3</x:v>
      </x:c>
      <x:c r="J107" s="43" t="str">
        <x:v>Recogida rápida y producto en muy buen estado.</x:v>
      </x:c>
      <x:c r="K107" s="43" t="str"/>
    </x:row>
    <x:row r="108" ht="22" customHeight="1">
      <x:c r="A108" s="43" t="str">
        <x:v>RSV-0107</x:v>
      </x:c>
      <x:c r="B108" s="43" t="str">
        <x:v>PACK-0107</x:v>
      </x:c>
      <x:c r="C108" s="43" t="str">
        <x:v>USR-CLI-014</x:v>
      </x:c>
      <x:c r="D108" s="43" t="n">
        <x:v>1</x:v>
      </x:c>
      <x:c r="E108" s="43" t="str">
        <x:v>collected</x:v>
      </x:c>
      <x:c r="F108" s="43" t="n">
        <x:v>-23</x:v>
      </x:c>
      <x:c r="G108" s="43" t="str">
        <x:v>15:00</x:v>
      </x:c>
      <x:c r="H108" s="43" t="str">
        <x:v>RP-1106</x:v>
      </x:c>
      <x:c r="I108" s="43" t="n">
        <x:v>4</x:v>
      </x:c>
      <x:c r="J108" s="43" t="str"/>
      <x:c r="K108" s="43" t="str"/>
    </x:row>
    <x:row r="109" ht="22" customHeight="1">
      <x:c r="A109" s="43" t="str">
        <x:v>RSV-0108</x:v>
      </x:c>
      <x:c r="B109" s="43" t="str">
        <x:v>PACK-0108</x:v>
      </x:c>
      <x:c r="C109" s="43" t="str">
        <x:v>USR-CLI-021</x:v>
      </x:c>
      <x:c r="D109" s="43" t="n">
        <x:v>1</x:v>
      </x:c>
      <x:c r="E109" s="43" t="str">
        <x:v>collected</x:v>
      </x:c>
      <x:c r="F109" s="43" t="n">
        <x:v>-24</x:v>
      </x:c>
      <x:c r="G109" s="43" t="str">
        <x:v>16:30</x:v>
      </x:c>
      <x:c r="H109" s="43" t="str">
        <x:v>RP-1107</x:v>
      </x:c>
      <x:c r="I109" s="43" t="n">
        <x:v>5</x:v>
      </x:c>
      <x:c r="J109" s="43" t="str"/>
      <x:c r="K109" s="43" t="str"/>
    </x:row>
    <x:row r="110" ht="22" customHeight="1">
      <x:c r="A110" s="43" t="str">
        <x:v>RSV-0109</x:v>
      </x:c>
      <x:c r="B110" s="43" t="str">
        <x:v>PACK-0109</x:v>
      </x:c>
      <x:c r="C110" s="43" t="str">
        <x:v>USR-CLI-001</x:v>
      </x:c>
      <x:c r="D110" s="43" t="n">
        <x:v>1</x:v>
      </x:c>
      <x:c r="E110" s="43" t="str">
        <x:v>collected</x:v>
      </x:c>
      <x:c r="F110" s="43" t="n">
        <x:v>-25</x:v>
      </x:c>
      <x:c r="G110" s="43" t="str">
        <x:v>17:00</x:v>
      </x:c>
      <x:c r="H110" s="43" t="str">
        <x:v>RP-1108</x:v>
      </x:c>
      <x:c r="I110" s="43" t="n">
        <x:v>3</x:v>
      </x:c>
      <x:c r="J110" s="43" t="str">
        <x:v>Recogida rápida y producto en muy buen estado.</x:v>
      </x:c>
      <x:c r="K110" s="43" t="str"/>
    </x:row>
    <x:row r="111" ht="22" customHeight="1">
      <x:c r="A111" s="43" t="str">
        <x:v>RSV-0110</x:v>
      </x:c>
      <x:c r="B111" s="43" t="str">
        <x:v>PACK-0110</x:v>
      </x:c>
      <x:c r="C111" s="43" t="str">
        <x:v>USR-CLI-008</x:v>
      </x:c>
      <x:c r="D111" s="43" t="n">
        <x:v>1</x:v>
      </x:c>
      <x:c r="E111" s="43" t="str">
        <x:v>collected</x:v>
      </x:c>
      <x:c r="F111" s="43" t="n">
        <x:v>-26</x:v>
      </x:c>
      <x:c r="G111" s="43" t="str">
        <x:v>18:30</x:v>
      </x:c>
      <x:c r="H111" s="43" t="str">
        <x:v>RP-1109</x:v>
      </x:c>
      <x:c r="I111" s="43" t="n">
        <x:v>4</x:v>
      </x:c>
      <x:c r="J111" s="43" t="str"/>
      <x:c r="K111" s="43" t="str"/>
    </x:row>
    <x:row r="112" ht="22" customHeight="1">
      <x:c r="A112" s="43" t="str">
        <x:v>RSV-0111</x:v>
      </x:c>
      <x:c r="B112" s="43" t="str">
        <x:v>PACK-0111</x:v>
      </x:c>
      <x:c r="C112" s="43" t="str">
        <x:v>USR-CLI-015</x:v>
      </x:c>
      <x:c r="D112" s="43" t="n">
        <x:v>1</x:v>
      </x:c>
      <x:c r="E112" s="43" t="str">
        <x:v>collected</x:v>
      </x:c>
      <x:c r="F112" s="43" t="n">
        <x:v>-27</x:v>
      </x:c>
      <x:c r="G112" s="43" t="str">
        <x:v>09:00</x:v>
      </x:c>
      <x:c r="H112" s="43" t="str">
        <x:v>RP-1110</x:v>
      </x:c>
      <x:c r="I112" s="43" t="n">
        <x:v>5</x:v>
      </x:c>
      <x:c r="J112" s="43" t="str"/>
      <x:c r="K112" s="43" t="str"/>
    </x:row>
    <x:row r="113" ht="22" customHeight="1">
      <x:c r="A113" s="43" t="str">
        <x:v>RSV-0112</x:v>
      </x:c>
      <x:c r="B113" s="43" t="str">
        <x:v>PACK-0112</x:v>
      </x:c>
      <x:c r="C113" s="43" t="str">
        <x:v>USR-CLI-022</x:v>
      </x:c>
      <x:c r="D113" s="43" t="n">
        <x:v>1</x:v>
      </x:c>
      <x:c r="E113" s="43" t="str">
        <x:v>collected</x:v>
      </x:c>
      <x:c r="F113" s="43" t="n">
        <x:v>-28</x:v>
      </x:c>
      <x:c r="G113" s="43" t="str">
        <x:v>10:30</x:v>
      </x:c>
      <x:c r="H113" s="43" t="str">
        <x:v>RP-1111</x:v>
      </x:c>
      <x:c r="I113" s="43" t="n">
        <x:v>3</x:v>
      </x:c>
      <x:c r="J113" s="43" t="str">
        <x:v>Recogida rápida y producto en muy buen estado.</x:v>
      </x:c>
      <x:c r="K113" s="43" t="str"/>
    </x:row>
    <x:row r="114" ht="22" customHeight="1">
      <x:c r="A114" s="43" t="str">
        <x:v>RSV-0113</x:v>
      </x:c>
      <x:c r="B114" s="43" t="str">
        <x:v>PACK-0113</x:v>
      </x:c>
      <x:c r="C114" s="43" t="str">
        <x:v>USR-CLI-002</x:v>
      </x:c>
      <x:c r="D114" s="43" t="n">
        <x:v>1</x:v>
      </x:c>
      <x:c r="E114" s="43" t="str">
        <x:v>collected</x:v>
      </x:c>
      <x:c r="F114" s="43" t="n">
        <x:v>-29</x:v>
      </x:c>
      <x:c r="G114" s="43" t="str">
        <x:v>11:00</x:v>
      </x:c>
      <x:c r="H114" s="43" t="str">
        <x:v>RP-1112</x:v>
      </x:c>
      <x:c r="I114" s="43" t="n">
        <x:v>4</x:v>
      </x:c>
      <x:c r="J114" s="43" t="str"/>
      <x:c r="K114" s="43" t="str"/>
    </x:row>
    <x:row r="115" ht="22" customHeight="1">
      <x:c r="A115" s="43" t="str">
        <x:v>RSV-0114</x:v>
      </x:c>
      <x:c r="B115" s="43" t="str">
        <x:v>PACK-0114</x:v>
      </x:c>
      <x:c r="C115" s="43" t="str">
        <x:v>USR-CLI-009</x:v>
      </x:c>
      <x:c r="D115" s="43" t="n">
        <x:v>1</x:v>
      </x:c>
      <x:c r="E115" s="43" t="str">
        <x:v>collected</x:v>
      </x:c>
      <x:c r="F115" s="43" t="n">
        <x:v>-30</x:v>
      </x:c>
      <x:c r="G115" s="43" t="str">
        <x:v>12:30</x:v>
      </x:c>
      <x:c r="H115" s="43" t="str">
        <x:v>RP-1113</x:v>
      </x:c>
      <x:c r="I115" s="43" t="n">
        <x:v>5</x:v>
      </x:c>
      <x:c r="J115" s="43" t="str"/>
      <x:c r="K115" s="43" t="str"/>
    </x:row>
    <x:row r="116" ht="22" customHeight="1">
      <x:c r="A116" s="43" t="str">
        <x:v>RSV-0115</x:v>
      </x:c>
      <x:c r="B116" s="43" t="str">
        <x:v>PACK-0115</x:v>
      </x:c>
      <x:c r="C116" s="43" t="str">
        <x:v>USR-CLI-016</x:v>
      </x:c>
      <x:c r="D116" s="43" t="n">
        <x:v>1</x:v>
      </x:c>
      <x:c r="E116" s="43" t="str">
        <x:v>collected</x:v>
      </x:c>
      <x:c r="F116" s="43" t="n">
        <x:v>-31</x:v>
      </x:c>
      <x:c r="G116" s="43" t="str">
        <x:v>13:00</x:v>
      </x:c>
      <x:c r="H116" s="43" t="str">
        <x:v>RP-1114</x:v>
      </x:c>
      <x:c r="I116" s="43" t="n">
        <x:v>3</x:v>
      </x:c>
      <x:c r="J116" s="43" t="str">
        <x:v>Recogida rápida y producto en muy buen estado.</x:v>
      </x:c>
      <x:c r="K116" s="43" t="str"/>
    </x:row>
    <x:row r="117" ht="22" customHeight="1">
      <x:c r="A117" s="43" t="str">
        <x:v>RSV-0116</x:v>
      </x:c>
      <x:c r="B117" s="43" t="str">
        <x:v>PACK-0116</x:v>
      </x:c>
      <x:c r="C117" s="43" t="str">
        <x:v>USR-CLI-023</x:v>
      </x:c>
      <x:c r="D117" s="43" t="n">
        <x:v>1</x:v>
      </x:c>
      <x:c r="E117" s="43" t="str">
        <x:v>collected</x:v>
      </x:c>
      <x:c r="F117" s="43" t="n">
        <x:v>-32</x:v>
      </x:c>
      <x:c r="G117" s="43" t="str">
        <x:v>14:30</x:v>
      </x:c>
      <x:c r="H117" s="43" t="str">
        <x:v>RP-1115</x:v>
      </x:c>
      <x:c r="I117" s="43" t="n">
        <x:v>4</x:v>
      </x:c>
      <x:c r="J117" s="43" t="str"/>
      <x:c r="K117" s="43" t="str"/>
    </x:row>
    <x:row r="118" ht="22" customHeight="1">
      <x:c r="A118" s="43" t="str">
        <x:v>RSV-0117</x:v>
      </x:c>
      <x:c r="B118" s="43" t="str">
        <x:v>PACK-0117</x:v>
      </x:c>
      <x:c r="C118" s="43" t="str">
        <x:v>USR-CLI-003</x:v>
      </x:c>
      <x:c r="D118" s="43" t="n">
        <x:v>1</x:v>
      </x:c>
      <x:c r="E118" s="43" t="str">
        <x:v>collected</x:v>
      </x:c>
      <x:c r="F118" s="43" t="n">
        <x:v>-33</x:v>
      </x:c>
      <x:c r="G118" s="43" t="str">
        <x:v>15:00</x:v>
      </x:c>
      <x:c r="H118" s="43" t="str">
        <x:v>RP-1116</x:v>
      </x:c>
      <x:c r="I118" s="43" t="n">
        <x:v>5</x:v>
      </x:c>
      <x:c r="J118" s="43" t="str"/>
      <x:c r="K118" s="43" t="str"/>
    </x:row>
    <x:row r="119" ht="22" customHeight="1">
      <x:c r="A119" s="43" t="str">
        <x:v>RSV-0118</x:v>
      </x:c>
      <x:c r="B119" s="43" t="str">
        <x:v>PACK-0118</x:v>
      </x:c>
      <x:c r="C119" s="43" t="str">
        <x:v>USR-CLI-010</x:v>
      </x:c>
      <x:c r="D119" s="43" t="n">
        <x:v>1</x:v>
      </x:c>
      <x:c r="E119" s="43" t="str">
        <x:v>collected</x:v>
      </x:c>
      <x:c r="F119" s="43" t="n">
        <x:v>-34</x:v>
      </x:c>
      <x:c r="G119" s="43" t="str">
        <x:v>16:30</x:v>
      </x:c>
      <x:c r="H119" s="43" t="str">
        <x:v>RP-1117</x:v>
      </x:c>
      <x:c r="I119" s="43" t="n">
        <x:v>3</x:v>
      </x:c>
      <x:c r="J119" s="43" t="str">
        <x:v>Recogida rápida y producto en muy buen estado.</x:v>
      </x:c>
      <x:c r="K119" s="43" t="str"/>
    </x:row>
    <x:row r="120" ht="22" customHeight="1">
      <x:c r="A120" s="43" t="str">
        <x:v>RSV-0119</x:v>
      </x:c>
      <x:c r="B120" s="43" t="str">
        <x:v>PACK-0119</x:v>
      </x:c>
      <x:c r="C120" s="43" t="str">
        <x:v>USR-CLI-017</x:v>
      </x:c>
      <x:c r="D120" s="43" t="n">
        <x:v>1</x:v>
      </x:c>
      <x:c r="E120" s="43" t="str">
        <x:v>collected</x:v>
      </x:c>
      <x:c r="F120" s="43" t="n">
        <x:v>-35</x:v>
      </x:c>
      <x:c r="G120" s="43" t="str">
        <x:v>17:00</x:v>
      </x:c>
      <x:c r="H120" s="43" t="str">
        <x:v>RP-1118</x:v>
      </x:c>
      <x:c r="I120" s="43" t="n">
        <x:v>4</x:v>
      </x:c>
      <x:c r="J120" s="43" t="str"/>
      <x:c r="K120" s="43" t="str"/>
    </x:row>
    <x:row r="121" ht="22" customHeight="1">
      <x:c r="A121" s="43" t="str">
        <x:v>RSV-0120</x:v>
      </x:c>
      <x:c r="B121" s="43" t="str">
        <x:v>PACK-0120</x:v>
      </x:c>
      <x:c r="C121" s="43" t="str">
        <x:v>USR-CLI-024</x:v>
      </x:c>
      <x:c r="D121" s="43" t="n">
        <x:v>1</x:v>
      </x:c>
      <x:c r="E121" s="43" t="str">
        <x:v>collected</x:v>
      </x:c>
      <x:c r="F121" s="43" t="n">
        <x:v>-36</x:v>
      </x:c>
      <x:c r="G121" s="43" t="str">
        <x:v>18:30</x:v>
      </x:c>
      <x:c r="H121" s="43" t="str">
        <x:v>RP-1119</x:v>
      </x:c>
      <x:c r="I121" s="43" t="n">
        <x:v>5</x:v>
      </x:c>
      <x:c r="J121" s="43" t="str"/>
      <x:c r="K121" s="43" t="str"/>
    </x:row>
    <x:row r="122" ht="22" customHeight="1">
      <x:c r="A122" s="43" t="str">
        <x:v>RSV-0121</x:v>
      </x:c>
      <x:c r="B122" s="43" t="str">
        <x:v>PACK-0001</x:v>
      </x:c>
      <x:c r="C122" s="43" t="str">
        <x:v>USR-CLI-007</x:v>
      </x:c>
      <x:c r="D122" s="43" t="n">
        <x:v>1</x:v>
      </x:c>
      <x:c r="E122" s="43" t="str">
        <x:v>collected</x:v>
      </x:c>
      <x:c r="F122" s="43" t="n">
        <x:v>-37</x:v>
      </x:c>
      <x:c r="G122" s="43" t="str">
        <x:v>09:00</x:v>
      </x:c>
      <x:c r="H122" s="43" t="str">
        <x:v>RP-1120</x:v>
      </x:c>
      <x:c r="I122" s="43" t="n">
        <x:v>3</x:v>
      </x:c>
      <x:c r="J122" s="43" t="str">
        <x:v>Recogida rápida y producto en muy buen estado.</x:v>
      </x:c>
      <x:c r="K122" s="43" t="str"/>
    </x:row>
    <x:row r="123" ht="22" customHeight="1">
      <x:c r="A123" s="43" t="str">
        <x:v>RSV-0122</x:v>
      </x:c>
      <x:c r="B123" s="43" t="str">
        <x:v>PACK-0002</x:v>
      </x:c>
      <x:c r="C123" s="43" t="str">
        <x:v>USR-CLI-014</x:v>
      </x:c>
      <x:c r="D123" s="43" t="n">
        <x:v>1</x:v>
      </x:c>
      <x:c r="E123" s="43" t="str">
        <x:v>collected</x:v>
      </x:c>
      <x:c r="F123" s="43" t="n">
        <x:v>-38</x:v>
      </x:c>
      <x:c r="G123" s="43" t="str">
        <x:v>10:30</x:v>
      </x:c>
      <x:c r="H123" s="43" t="str">
        <x:v>RP-1121</x:v>
      </x:c>
      <x:c r="I123" s="43" t="n">
        <x:v>4</x:v>
      </x:c>
      <x:c r="J123" s="43" t="str"/>
      <x:c r="K123" s="43" t="str"/>
    </x:row>
    <x:row r="124" ht="22" customHeight="1">
      <x:c r="A124" s="43" t="str">
        <x:v>RSV-0123</x:v>
      </x:c>
      <x:c r="B124" s="43" t="str">
        <x:v>PACK-0003</x:v>
      </x:c>
      <x:c r="C124" s="43" t="str">
        <x:v>USR-CLI-021</x:v>
      </x:c>
      <x:c r="D124" s="43" t="n">
        <x:v>1</x:v>
      </x:c>
      <x:c r="E124" s="43" t="str">
        <x:v>collected</x:v>
      </x:c>
      <x:c r="F124" s="43" t="n">
        <x:v>-39</x:v>
      </x:c>
      <x:c r="G124" s="43" t="str">
        <x:v>11:00</x:v>
      </x:c>
      <x:c r="H124" s="43" t="str">
        <x:v>RP-1122</x:v>
      </x:c>
      <x:c r="I124" s="43" t="n">
        <x:v>5</x:v>
      </x:c>
      <x:c r="J124" s="43" t="str"/>
      <x:c r="K124" s="43" t="str"/>
    </x:row>
    <x:row r="125" ht="22" customHeight="1">
      <x:c r="A125" s="43" t="str">
        <x:v>RSV-0124</x:v>
      </x:c>
      <x:c r="B125" s="43" t="str">
        <x:v>PACK-0004</x:v>
      </x:c>
      <x:c r="C125" s="43" t="str">
        <x:v>USR-CLI-001</x:v>
      </x:c>
      <x:c r="D125" s="43" t="n">
        <x:v>1</x:v>
      </x:c>
      <x:c r="E125" s="43" t="str">
        <x:v>collected</x:v>
      </x:c>
      <x:c r="F125" s="43" t="n">
        <x:v>-40</x:v>
      </x:c>
      <x:c r="G125" s="43" t="str">
        <x:v>12:30</x:v>
      </x:c>
      <x:c r="H125" s="43" t="str">
        <x:v>RP-1123</x:v>
      </x:c>
      <x:c r="I125" s="43" t="n">
        <x:v>3</x:v>
      </x:c>
      <x:c r="J125" s="43" t="str">
        <x:v>Recogida rápida y producto en muy buen estado.</x:v>
      </x:c>
      <x:c r="K125" s="43" t="str"/>
    </x:row>
    <x:row r="126" ht="22" customHeight="1">
      <x:c r="A126" s="43" t="str">
        <x:v>RSV-0125</x:v>
      </x:c>
      <x:c r="B126" s="43" t="str">
        <x:v>PACK-0005</x:v>
      </x:c>
      <x:c r="C126" s="43" t="str">
        <x:v>USR-CLI-008</x:v>
      </x:c>
      <x:c r="D126" s="43" t="n">
        <x:v>1</x:v>
      </x:c>
      <x:c r="E126" s="43" t="str">
        <x:v>collected</x:v>
      </x:c>
      <x:c r="F126" s="43" t="n">
        <x:v>-41</x:v>
      </x:c>
      <x:c r="G126" s="43" t="str">
        <x:v>13:00</x:v>
      </x:c>
      <x:c r="H126" s="43" t="str">
        <x:v>RP-1124</x:v>
      </x:c>
      <x:c r="I126" s="43" t="n">
        <x:v>4</x:v>
      </x:c>
      <x:c r="J126" s="43" t="str"/>
      <x:c r="K126" s="43" t="str"/>
    </x:row>
    <x:row r="127" ht="22" customHeight="1">
      <x:c r="A127" s="43" t="str">
        <x:v>RSV-0126</x:v>
      </x:c>
      <x:c r="B127" s="43" t="str">
        <x:v>PACK-0006</x:v>
      </x:c>
      <x:c r="C127" s="43" t="str">
        <x:v>USR-CLI-015</x:v>
      </x:c>
      <x:c r="D127" s="43" t="n">
        <x:v>1</x:v>
      </x:c>
      <x:c r="E127" s="43" t="str">
        <x:v>collected</x:v>
      </x:c>
      <x:c r="F127" s="43" t="n">
        <x:v>-42</x:v>
      </x:c>
      <x:c r="G127" s="43" t="str">
        <x:v>14:30</x:v>
      </x:c>
      <x:c r="H127" s="43" t="str">
        <x:v>RP-1125</x:v>
      </x:c>
      <x:c r="I127" s="43" t="n">
        <x:v>5</x:v>
      </x:c>
      <x:c r="J127" s="43" t="str"/>
      <x:c r="K127" s="43" t="str"/>
    </x:row>
    <x:row r="128" ht="22" customHeight="1">
      <x:c r="A128" s="43" t="str">
        <x:v>RSV-0127</x:v>
      </x:c>
      <x:c r="B128" s="43" t="str">
        <x:v>PACK-0007</x:v>
      </x:c>
      <x:c r="C128" s="43" t="str">
        <x:v>USR-CLI-022</x:v>
      </x:c>
      <x:c r="D128" s="43" t="n">
        <x:v>1</x:v>
      </x:c>
      <x:c r="E128" s="43" t="str">
        <x:v>collected</x:v>
      </x:c>
      <x:c r="F128" s="43" t="n">
        <x:v>-1</x:v>
      </x:c>
      <x:c r="G128" s="43" t="str">
        <x:v>15:00</x:v>
      </x:c>
      <x:c r="H128" s="43" t="str">
        <x:v>RP-1126</x:v>
      </x:c>
      <x:c r="I128" s="43" t="n">
        <x:v>3</x:v>
      </x:c>
      <x:c r="J128" s="43" t="str">
        <x:v>Recogida rápida y producto en muy buen estado.</x:v>
      </x:c>
      <x:c r="K128" s="43" t="str"/>
    </x:row>
    <x:row r="129" ht="22" customHeight="1">
      <x:c r="A129" s="43" t="str">
        <x:v>RSV-0128</x:v>
      </x:c>
      <x:c r="B129" s="43" t="str">
        <x:v>PACK-0008</x:v>
      </x:c>
      <x:c r="C129" s="43" t="str">
        <x:v>USR-CLI-002</x:v>
      </x:c>
      <x:c r="D129" s="43" t="n">
        <x:v>1</x:v>
      </x:c>
      <x:c r="E129" s="43" t="str">
        <x:v>collected</x:v>
      </x:c>
      <x:c r="F129" s="43" t="n">
        <x:v>-2</x:v>
      </x:c>
      <x:c r="G129" s="43" t="str">
        <x:v>16:30</x:v>
      </x:c>
      <x:c r="H129" s="43" t="str">
        <x:v>RP-1127</x:v>
      </x:c>
      <x:c r="I129" s="43" t="n">
        <x:v>4</x:v>
      </x:c>
      <x:c r="J129" s="43" t="str"/>
      <x:c r="K129" s="43" t="str"/>
    </x:row>
    <x:row r="130" ht="22" customHeight="1">
      <x:c r="A130" s="43" t="str">
        <x:v>RSV-0129</x:v>
      </x:c>
      <x:c r="B130" s="43" t="str">
        <x:v>PACK-0009</x:v>
      </x:c>
      <x:c r="C130" s="43" t="str">
        <x:v>USR-CLI-009</x:v>
      </x:c>
      <x:c r="D130" s="43" t="n">
        <x:v>1</x:v>
      </x:c>
      <x:c r="E130" s="43" t="str">
        <x:v>collected</x:v>
      </x:c>
      <x:c r="F130" s="43" t="n">
        <x:v>-3</x:v>
      </x:c>
      <x:c r="G130" s="43" t="str">
        <x:v>17:00</x:v>
      </x:c>
      <x:c r="H130" s="43" t="str">
        <x:v>RP-1128</x:v>
      </x:c>
      <x:c r="I130" s="43" t="n">
        <x:v>5</x:v>
      </x:c>
      <x:c r="J130" s="43" t="str"/>
      <x:c r="K130" s="43" t="str"/>
    </x:row>
    <x:row r="131" ht="22" customHeight="1">
      <x:c r="A131" s="43" t="str">
        <x:v>RSV-0130</x:v>
      </x:c>
      <x:c r="B131" s="43" t="str">
        <x:v>PACK-0010</x:v>
      </x:c>
      <x:c r="C131" s="43" t="str">
        <x:v>USR-CLI-016</x:v>
      </x:c>
      <x:c r="D131" s="43" t="n">
        <x:v>1</x:v>
      </x:c>
      <x:c r="E131" s="43" t="str">
        <x:v>collected</x:v>
      </x:c>
      <x:c r="F131" s="43" t="n">
        <x:v>-4</x:v>
      </x:c>
      <x:c r="G131" s="43" t="str">
        <x:v>18:30</x:v>
      </x:c>
      <x:c r="H131" s="43" t="str">
        <x:v>RP-1129</x:v>
      </x:c>
      <x:c r="I131" s="43" t="n">
        <x:v>3</x:v>
      </x:c>
      <x:c r="J131" s="43" t="str">
        <x:v>Recogida rápida y producto en muy buen estado.</x:v>
      </x:c>
      <x:c r="K131" s="43" t="str"/>
    </x:row>
    <x:row r="132" ht="22" customHeight="1">
      <x:c r="A132" s="43" t="str">
        <x:v>RSV-0131</x:v>
      </x:c>
      <x:c r="B132" s="43" t="str">
        <x:v>PACK-0011</x:v>
      </x:c>
      <x:c r="C132" s="43" t="str">
        <x:v>USR-CLI-023</x:v>
      </x:c>
      <x:c r="D132" s="43" t="n">
        <x:v>1</x:v>
      </x:c>
      <x:c r="E132" s="43" t="str">
        <x:v>collected</x:v>
      </x:c>
      <x:c r="F132" s="43" t="n">
        <x:v>-5</x:v>
      </x:c>
      <x:c r="G132" s="43" t="str">
        <x:v>09:00</x:v>
      </x:c>
      <x:c r="H132" s="43" t="str">
        <x:v>RP-1130</x:v>
      </x:c>
      <x:c r="I132" s="43" t="n">
        <x:v>4</x:v>
      </x:c>
      <x:c r="J132" s="43" t="str"/>
      <x:c r="K132" s="43" t="str"/>
    </x:row>
    <x:row r="133" ht="22" customHeight="1">
      <x:c r="A133" s="43" t="str">
        <x:v>RSV-0132</x:v>
      </x:c>
      <x:c r="B133" s="43" t="str">
        <x:v>PACK-0012</x:v>
      </x:c>
      <x:c r="C133" s="43" t="str">
        <x:v>USR-CLI-003</x:v>
      </x:c>
      <x:c r="D133" s="43" t="n">
        <x:v>1</x:v>
      </x:c>
      <x:c r="E133" s="43" t="str">
        <x:v>collected</x:v>
      </x:c>
      <x:c r="F133" s="43" t="n">
        <x:v>-6</x:v>
      </x:c>
      <x:c r="G133" s="43" t="str">
        <x:v>10:30</x:v>
      </x:c>
      <x:c r="H133" s="43" t="str">
        <x:v>RP-1131</x:v>
      </x:c>
      <x:c r="I133" s="43" t="n">
        <x:v>5</x:v>
      </x:c>
      <x:c r="J133" s="43" t="str"/>
      <x:c r="K133" s="43" t="str"/>
    </x:row>
    <x:row r="134" ht="22" customHeight="1">
      <x:c r="A134" s="43" t="str">
        <x:v>RSV-0133</x:v>
      </x:c>
      <x:c r="B134" s="43" t="str">
        <x:v>PACK-0013</x:v>
      </x:c>
      <x:c r="C134" s="43" t="str">
        <x:v>USR-CLI-010</x:v>
      </x:c>
      <x:c r="D134" s="43" t="n">
        <x:v>1</x:v>
      </x:c>
      <x:c r="E134" s="43" t="str">
        <x:v>collected</x:v>
      </x:c>
      <x:c r="F134" s="43" t="n">
        <x:v>-7</x:v>
      </x:c>
      <x:c r="G134" s="43" t="str">
        <x:v>11:00</x:v>
      </x:c>
      <x:c r="H134" s="43" t="str">
        <x:v>RP-1132</x:v>
      </x:c>
      <x:c r="I134" s="43" t="n">
        <x:v>3</x:v>
      </x:c>
      <x:c r="J134" s="43" t="str">
        <x:v>Recogida rápida y producto en muy buen estado.</x:v>
      </x:c>
      <x:c r="K134" s="43" t="str"/>
    </x:row>
    <x:row r="135" ht="22" customHeight="1">
      <x:c r="A135" s="43" t="str">
        <x:v>RSV-0134</x:v>
      </x:c>
      <x:c r="B135" s="43" t="str">
        <x:v>PACK-0014</x:v>
      </x:c>
      <x:c r="C135" s="43" t="str">
        <x:v>USR-CLI-017</x:v>
      </x:c>
      <x:c r="D135" s="43" t="n">
        <x:v>1</x:v>
      </x:c>
      <x:c r="E135" s="43" t="str">
        <x:v>collected</x:v>
      </x:c>
      <x:c r="F135" s="43" t="n">
        <x:v>-8</x:v>
      </x:c>
      <x:c r="G135" s="43" t="str">
        <x:v>12:30</x:v>
      </x:c>
      <x:c r="H135" s="43" t="str">
        <x:v>RP-1133</x:v>
      </x:c>
      <x:c r="I135" s="43" t="n">
        <x:v>4</x:v>
      </x:c>
      <x:c r="J135" s="43" t="str"/>
      <x:c r="K135" s="43" t="str"/>
    </x:row>
    <x:row r="136" ht="22" customHeight="1">
      <x:c r="A136" s="43" t="str">
        <x:v>RSV-0135</x:v>
      </x:c>
      <x:c r="B136" s="43" t="str">
        <x:v>PACK-0015</x:v>
      </x:c>
      <x:c r="C136" s="43" t="str">
        <x:v>USR-CLI-024</x:v>
      </x:c>
      <x:c r="D136" s="43" t="n">
        <x:v>1</x:v>
      </x:c>
      <x:c r="E136" s="43" t="str">
        <x:v>collected</x:v>
      </x:c>
      <x:c r="F136" s="43" t="n">
        <x:v>-9</x:v>
      </x:c>
      <x:c r="G136" s="43" t="str">
        <x:v>13:00</x:v>
      </x:c>
      <x:c r="H136" s="43" t="str">
        <x:v>RP-1134</x:v>
      </x:c>
      <x:c r="I136" s="43" t="n">
        <x:v>5</x:v>
      </x:c>
      <x:c r="J136" s="43" t="str"/>
      <x:c r="K136" s="43" t="str"/>
    </x:row>
    <x:row r="137" ht="22" customHeight="1">
      <x:c r="A137" s="43" t="str">
        <x:v>RSV-0136</x:v>
      </x:c>
      <x:c r="B137" s="43" t="str">
        <x:v>PACK-0016</x:v>
      </x:c>
      <x:c r="C137" s="43" t="str">
        <x:v>USR-CLI-004</x:v>
      </x:c>
      <x:c r="D137" s="43" t="n">
        <x:v>1</x:v>
      </x:c>
      <x:c r="E137" s="43" t="str">
        <x:v>collected</x:v>
      </x:c>
      <x:c r="F137" s="43" t="n">
        <x:v>-10</x:v>
      </x:c>
      <x:c r="G137" s="43" t="str">
        <x:v>14:30</x:v>
      </x:c>
      <x:c r="H137" s="43" t="str">
        <x:v>RP-1135</x:v>
      </x:c>
      <x:c r="I137" s="43" t="n">
        <x:v>3</x:v>
      </x:c>
      <x:c r="J137" s="43" t="str">
        <x:v>Recogida rápida y producto en muy buen estado.</x:v>
      </x:c>
      <x:c r="K137" s="43" t="str"/>
    </x:row>
    <x:row r="138" ht="22" customHeight="1">
      <x:c r="A138" s="43" t="str">
        <x:v>RSV-0137</x:v>
      </x:c>
      <x:c r="B138" s="43" t="str">
        <x:v>PACK-0017</x:v>
      </x:c>
      <x:c r="C138" s="43" t="str">
        <x:v>USR-CLI-011</x:v>
      </x:c>
      <x:c r="D138" s="43" t="n">
        <x:v>1</x:v>
      </x:c>
      <x:c r="E138" s="43" t="str">
        <x:v>collected</x:v>
      </x:c>
      <x:c r="F138" s="43" t="n">
        <x:v>-11</x:v>
      </x:c>
      <x:c r="G138" s="43" t="str">
        <x:v>15:00</x:v>
      </x:c>
      <x:c r="H138" s="43" t="str">
        <x:v>RP-1136</x:v>
      </x:c>
      <x:c r="I138" s="43" t="n">
        <x:v>4</x:v>
      </x:c>
      <x:c r="J138" s="43" t="str"/>
      <x:c r="K138" s="43" t="str"/>
    </x:row>
    <x:row r="139" ht="22" customHeight="1">
      <x:c r="A139" s="43" t="str">
        <x:v>RSV-0138</x:v>
      </x:c>
      <x:c r="B139" s="43" t="str">
        <x:v>PACK-0018</x:v>
      </x:c>
      <x:c r="C139" s="43" t="str">
        <x:v>USR-CLI-018</x:v>
      </x:c>
      <x:c r="D139" s="43" t="n">
        <x:v>1</x:v>
      </x:c>
      <x:c r="E139" s="43" t="str">
        <x:v>collected</x:v>
      </x:c>
      <x:c r="F139" s="43" t="n">
        <x:v>-12</x:v>
      </x:c>
      <x:c r="G139" s="43" t="str">
        <x:v>16:30</x:v>
      </x:c>
      <x:c r="H139" s="43" t="str">
        <x:v>RP-1137</x:v>
      </x:c>
      <x:c r="I139" s="43" t="n">
        <x:v>5</x:v>
      </x:c>
      <x:c r="J139" s="43" t="str"/>
      <x:c r="K139" s="43" t="str"/>
    </x:row>
    <x:row r="140" ht="22" customHeight="1">
      <x:c r="A140" s="43" t="str">
        <x:v>RSV-0139</x:v>
      </x:c>
      <x:c r="B140" s="43" t="str">
        <x:v>PACK-0019</x:v>
      </x:c>
      <x:c r="C140" s="43" t="str">
        <x:v>USR-CLI-025</x:v>
      </x:c>
      <x:c r="D140" s="43" t="n">
        <x:v>1</x:v>
      </x:c>
      <x:c r="E140" s="43" t="str">
        <x:v>collected</x:v>
      </x:c>
      <x:c r="F140" s="43" t="n">
        <x:v>-13</x:v>
      </x:c>
      <x:c r="G140" s="43" t="str">
        <x:v>17:00</x:v>
      </x:c>
      <x:c r="H140" s="43" t="str">
        <x:v>RP-1138</x:v>
      </x:c>
      <x:c r="I140" s="43" t="n">
        <x:v>3</x:v>
      </x:c>
      <x:c r="J140" s="43" t="str">
        <x:v>Recogida rápida y producto en muy buen estado.</x:v>
      </x:c>
      <x:c r="K140" s="43" t="str"/>
    </x:row>
    <x:row r="141" ht="22" customHeight="1">
      <x:c r="A141" s="43" t="str">
        <x:v>RSV-0140</x:v>
      </x:c>
      <x:c r="B141" s="43" t="str">
        <x:v>PACK-0020</x:v>
      </x:c>
      <x:c r="C141" s="43" t="str">
        <x:v>USR-CLI-005</x:v>
      </x:c>
      <x:c r="D141" s="43" t="n">
        <x:v>1</x:v>
      </x:c>
      <x:c r="E141" s="43" t="str">
        <x:v>collected</x:v>
      </x:c>
      <x:c r="F141" s="43" t="n">
        <x:v>-14</x:v>
      </x:c>
      <x:c r="G141" s="43" t="str">
        <x:v>18:30</x:v>
      </x:c>
      <x:c r="H141" s="43" t="str">
        <x:v>RP-1139</x:v>
      </x:c>
      <x:c r="I141" s="43" t="n">
        <x:v>4</x:v>
      </x:c>
      <x:c r="J141" s="43" t="str"/>
      <x:c r="K141" s="43" t="str"/>
    </x:row>
    <x:row r="142" ht="22" customHeight="1">
      <x:c r="A142" s="43" t="str">
        <x:v>RSV-0141</x:v>
      </x:c>
      <x:c r="B142" s="43" t="str">
        <x:v>PACK-0021</x:v>
      </x:c>
      <x:c r="C142" s="43" t="str">
        <x:v>USR-CLI-012</x:v>
      </x:c>
      <x:c r="D142" s="43" t="n">
        <x:v>1</x:v>
      </x:c>
      <x:c r="E142" s="43" t="str">
        <x:v>collected</x:v>
      </x:c>
      <x:c r="F142" s="43" t="n">
        <x:v>-15</x:v>
      </x:c>
      <x:c r="G142" s="43" t="str">
        <x:v>09:00</x:v>
      </x:c>
      <x:c r="H142" s="43" t="str">
        <x:v>RP-1140</x:v>
      </x:c>
      <x:c r="I142" s="43" t="n">
        <x:v>5</x:v>
      </x:c>
      <x:c r="J142" s="43" t="str"/>
      <x:c r="K142" s="43" t="str"/>
    </x:row>
    <x:row r="143" ht="22" customHeight="1">
      <x:c r="A143" s="43" t="str">
        <x:v>RSV-0142</x:v>
      </x:c>
      <x:c r="B143" s="43" t="str">
        <x:v>PACK-0022</x:v>
      </x:c>
      <x:c r="C143" s="43" t="str">
        <x:v>USR-CLI-019</x:v>
      </x:c>
      <x:c r="D143" s="43" t="n">
        <x:v>1</x:v>
      </x:c>
      <x:c r="E143" s="43" t="str">
        <x:v>collected</x:v>
      </x:c>
      <x:c r="F143" s="43" t="n">
        <x:v>-16</x:v>
      </x:c>
      <x:c r="G143" s="43" t="str">
        <x:v>10:30</x:v>
      </x:c>
      <x:c r="H143" s="43" t="str">
        <x:v>RP-1141</x:v>
      </x:c>
      <x:c r="I143" s="43" t="n">
        <x:v>3</x:v>
      </x:c>
      <x:c r="J143" s="43" t="str">
        <x:v>Recogida rápida y producto en muy buen estado.</x:v>
      </x:c>
      <x:c r="K143" s="43" t="str"/>
    </x:row>
    <x:row r="144" ht="22" customHeight="1">
      <x:c r="A144" s="43" t="str">
        <x:v>RSV-0143</x:v>
      </x:c>
      <x:c r="B144" s="43" t="str">
        <x:v>PACK-0023</x:v>
      </x:c>
      <x:c r="C144" s="43" t="str">
        <x:v>USR-CLI-026</x:v>
      </x:c>
      <x:c r="D144" s="43" t="n">
        <x:v>1</x:v>
      </x:c>
      <x:c r="E144" s="43" t="str">
        <x:v>collected</x:v>
      </x:c>
      <x:c r="F144" s="43" t="n">
        <x:v>-17</x:v>
      </x:c>
      <x:c r="G144" s="43" t="str">
        <x:v>11:00</x:v>
      </x:c>
      <x:c r="H144" s="43" t="str">
        <x:v>RP-1142</x:v>
      </x:c>
      <x:c r="I144" s="43" t="n">
        <x:v>4</x:v>
      </x:c>
      <x:c r="J144" s="43" t="str"/>
      <x:c r="K144" s="43" t="str"/>
    </x:row>
    <x:row r="145" ht="22" customHeight="1">
      <x:c r="A145" s="43" t="str">
        <x:v>RSV-0144</x:v>
      </x:c>
      <x:c r="B145" s="43" t="str">
        <x:v>PACK-0024</x:v>
      </x:c>
      <x:c r="C145" s="43" t="str">
        <x:v>USR-CLI-006</x:v>
      </x:c>
      <x:c r="D145" s="43" t="n">
        <x:v>1</x:v>
      </x:c>
      <x:c r="E145" s="43" t="str">
        <x:v>collected</x:v>
      </x:c>
      <x:c r="F145" s="43" t="n">
        <x:v>-18</x:v>
      </x:c>
      <x:c r="G145" s="43" t="str">
        <x:v>12:30</x:v>
      </x:c>
      <x:c r="H145" s="43" t="str">
        <x:v>RP-1143</x:v>
      </x:c>
      <x:c r="I145" s="43" t="n">
        <x:v>5</x:v>
      </x:c>
      <x:c r="J145" s="43" t="str"/>
      <x:c r="K145" s="43" t="str"/>
    </x:row>
    <x:row r="146" ht="22" customHeight="1">
      <x:c r="A146" s="43" t="str">
        <x:v>RSV-0145</x:v>
      </x:c>
      <x:c r="B146" s="43" t="str">
        <x:v>PACK-0025</x:v>
      </x:c>
      <x:c r="C146" s="43" t="str">
        <x:v>USR-CLI-013</x:v>
      </x:c>
      <x:c r="D146" s="43" t="n">
        <x:v>1</x:v>
      </x:c>
      <x:c r="E146" s="43" t="str">
        <x:v>collected</x:v>
      </x:c>
      <x:c r="F146" s="43" t="n">
        <x:v>-19</x:v>
      </x:c>
      <x:c r="G146" s="43" t="str">
        <x:v>13:00</x:v>
      </x:c>
      <x:c r="H146" s="43" t="str">
        <x:v>RP-1144</x:v>
      </x:c>
      <x:c r="I146" s="43" t="n">
        <x:v>3</x:v>
      </x:c>
      <x:c r="J146" s="43" t="str">
        <x:v>Recogida rápida y producto en muy buen estado.</x:v>
      </x:c>
      <x:c r="K146" s="43" t="str"/>
    </x:row>
    <x:row r="147" ht="22" customHeight="1">
      <x:c r="A147" s="43" t="str">
        <x:v>RSV-0146</x:v>
      </x:c>
      <x:c r="B147" s="43" t="str">
        <x:v>PACK-0026</x:v>
      </x:c>
      <x:c r="C147" s="43" t="str">
        <x:v>USR-CLI-020</x:v>
      </x:c>
      <x:c r="D147" s="43" t="n">
        <x:v>1</x:v>
      </x:c>
      <x:c r="E147" s="43" t="str">
        <x:v>collected</x:v>
      </x:c>
      <x:c r="F147" s="43" t="n">
        <x:v>-20</x:v>
      </x:c>
      <x:c r="G147" s="43" t="str">
        <x:v>14:30</x:v>
      </x:c>
      <x:c r="H147" s="43" t="str">
        <x:v>RP-1145</x:v>
      </x:c>
      <x:c r="I147" s="43" t="n">
        <x:v>4</x:v>
      </x:c>
      <x:c r="J147" s="43" t="str"/>
      <x:c r="K147" s="43" t="str"/>
    </x:row>
    <x:row r="148" ht="22" customHeight="1">
      <x:c r="A148" s="43" t="str">
        <x:v>RSV-0147</x:v>
      </x:c>
      <x:c r="B148" s="43" t="str">
        <x:v>PACK-0027</x:v>
      </x:c>
      <x:c r="C148" s="43" t="str">
        <x:v>USR-CLI-027</x:v>
      </x:c>
      <x:c r="D148" s="43" t="n">
        <x:v>1</x:v>
      </x:c>
      <x:c r="E148" s="43" t="str">
        <x:v>collected</x:v>
      </x:c>
      <x:c r="F148" s="43" t="n">
        <x:v>-21</x:v>
      </x:c>
      <x:c r="G148" s="43" t="str">
        <x:v>15:00</x:v>
      </x:c>
      <x:c r="H148" s="43" t="str">
        <x:v>RP-1146</x:v>
      </x:c>
      <x:c r="I148" s="43" t="n">
        <x:v>5</x:v>
      </x:c>
      <x:c r="J148" s="43" t="str"/>
      <x:c r="K148" s="43" t="str"/>
    </x:row>
    <x:row r="149" ht="22" customHeight="1">
      <x:c r="A149" s="43" t="str">
        <x:v>RSV-0148</x:v>
      </x:c>
      <x:c r="B149" s="43" t="str">
        <x:v>PACK-0028</x:v>
      </x:c>
      <x:c r="C149" s="43" t="str">
        <x:v>USR-CLI-007</x:v>
      </x:c>
      <x:c r="D149" s="43" t="n">
        <x:v>1</x:v>
      </x:c>
      <x:c r="E149" s="43" t="str">
        <x:v>collected</x:v>
      </x:c>
      <x:c r="F149" s="43" t="n">
        <x:v>-22</x:v>
      </x:c>
      <x:c r="G149" s="43" t="str">
        <x:v>16:30</x:v>
      </x:c>
      <x:c r="H149" s="43" t="str">
        <x:v>RP-1147</x:v>
      </x:c>
      <x:c r="I149" s="43" t="n">
        <x:v>3</x:v>
      </x:c>
      <x:c r="J149" s="43" t="str">
        <x:v>Recogida rápida y producto en muy buen estado.</x:v>
      </x:c>
      <x:c r="K149" s="43" t="str"/>
    </x:row>
    <x:row r="150" ht="22" customHeight="1">
      <x:c r="A150" s="43" t="str">
        <x:v>RSV-0149</x:v>
      </x:c>
      <x:c r="B150" s="43" t="str">
        <x:v>PACK-0029</x:v>
      </x:c>
      <x:c r="C150" s="43" t="str">
        <x:v>USR-CLI-014</x:v>
      </x:c>
      <x:c r="D150" s="43" t="n">
        <x:v>1</x:v>
      </x:c>
      <x:c r="E150" s="43" t="str">
        <x:v>collected</x:v>
      </x:c>
      <x:c r="F150" s="43" t="n">
        <x:v>-23</x:v>
      </x:c>
      <x:c r="G150" s="43" t="str">
        <x:v>17:00</x:v>
      </x:c>
      <x:c r="H150" s="43" t="str">
        <x:v>RP-1148</x:v>
      </x:c>
      <x:c r="I150" s="43" t="n">
        <x:v>4</x:v>
      </x:c>
      <x:c r="J150" s="43" t="str"/>
      <x:c r="K150" s="43" t="str"/>
    </x:row>
    <x:row r="151" ht="22" customHeight="1">
      <x:c r="A151" s="43" t="str">
        <x:v>RSV-0150</x:v>
      </x:c>
      <x:c r="B151" s="43" t="str">
        <x:v>PACK-0030</x:v>
      </x:c>
      <x:c r="C151" s="43" t="str">
        <x:v>USR-CLI-021</x:v>
      </x:c>
      <x:c r="D151" s="43" t="n">
        <x:v>1</x:v>
      </x:c>
      <x:c r="E151" s="43" t="str">
        <x:v>collected</x:v>
      </x:c>
      <x:c r="F151" s="43" t="n">
        <x:v>-24</x:v>
      </x:c>
      <x:c r="G151" s="43" t="str">
        <x:v>18:30</x:v>
      </x:c>
      <x:c r="H151" s="43" t="str">
        <x:v>RP-1149</x:v>
      </x:c>
      <x:c r="I151" s="43" t="n">
        <x:v>5</x:v>
      </x:c>
      <x:c r="J151" s="43" t="str"/>
      <x:c r="K151" s="43" t="str"/>
    </x:row>
    <x:row r="152" ht="22" customHeight="1">
      <x:c r="A152" s="43" t="str">
        <x:v>RSV-0151</x:v>
      </x:c>
      <x:c r="B152" s="43" t="str">
        <x:v>PACK-0031</x:v>
      </x:c>
      <x:c r="C152" s="43" t="str">
        <x:v>USR-CLI-001</x:v>
      </x:c>
      <x:c r="D152" s="43" t="n">
        <x:v>1</x:v>
      </x:c>
      <x:c r="E152" s="43" t="str">
        <x:v>collected</x:v>
      </x:c>
      <x:c r="F152" s="43" t="n">
        <x:v>-25</x:v>
      </x:c>
      <x:c r="G152" s="43" t="str">
        <x:v>09:00</x:v>
      </x:c>
      <x:c r="H152" s="43" t="str">
        <x:v>RP-1150</x:v>
      </x:c>
      <x:c r="I152" s="43" t="n">
        <x:v>3</x:v>
      </x:c>
      <x:c r="J152" s="43" t="str">
        <x:v>Recogida rápida y producto en muy buen estado.</x:v>
      </x:c>
      <x:c r="K152" s="43" t="str"/>
    </x:row>
    <x:row r="153" ht="22" customHeight="1">
      <x:c r="A153" s="43" t="str">
        <x:v>RSV-0152</x:v>
      </x:c>
      <x:c r="B153" s="43" t="str">
        <x:v>PACK-0032</x:v>
      </x:c>
      <x:c r="C153" s="43" t="str">
        <x:v>USR-CLI-008</x:v>
      </x:c>
      <x:c r="D153" s="43" t="n">
        <x:v>1</x:v>
      </x:c>
      <x:c r="E153" s="43" t="str">
        <x:v>collected</x:v>
      </x:c>
      <x:c r="F153" s="43" t="n">
        <x:v>-26</x:v>
      </x:c>
      <x:c r="G153" s="43" t="str">
        <x:v>10:30</x:v>
      </x:c>
      <x:c r="H153" s="43" t="str">
        <x:v>RP-1151</x:v>
      </x:c>
      <x:c r="I153" s="43" t="n">
        <x:v>4</x:v>
      </x:c>
      <x:c r="J153" s="43" t="str"/>
      <x:c r="K153" s="43" t="str"/>
    </x:row>
    <x:row r="154" ht="22" customHeight="1">
      <x:c r="A154" s="43" t="str">
        <x:v>RSV-0153</x:v>
      </x:c>
      <x:c r="B154" s="43" t="str">
        <x:v>PACK-0033</x:v>
      </x:c>
      <x:c r="C154" s="43" t="str">
        <x:v>USR-CLI-015</x:v>
      </x:c>
      <x:c r="D154" s="43" t="n">
        <x:v>1</x:v>
      </x:c>
      <x:c r="E154" s="43" t="str">
        <x:v>collected</x:v>
      </x:c>
      <x:c r="F154" s="43" t="n">
        <x:v>-27</x:v>
      </x:c>
      <x:c r="G154" s="43" t="str">
        <x:v>11:00</x:v>
      </x:c>
      <x:c r="H154" s="43" t="str">
        <x:v>RP-1152</x:v>
      </x:c>
      <x:c r="I154" s="43" t="n">
        <x:v>5</x:v>
      </x:c>
      <x:c r="J154" s="43" t="str"/>
      <x:c r="K154" s="43" t="str"/>
    </x:row>
    <x:row r="155" ht="22" customHeight="1">
      <x:c r="A155" s="43" t="str">
        <x:v>RSV-0154</x:v>
      </x:c>
      <x:c r="B155" s="43" t="str">
        <x:v>PACK-0034</x:v>
      </x:c>
      <x:c r="C155" s="43" t="str">
        <x:v>USR-CLI-022</x:v>
      </x:c>
      <x:c r="D155" s="43" t="n">
        <x:v>1</x:v>
      </x:c>
      <x:c r="E155" s="43" t="str">
        <x:v>collected</x:v>
      </x:c>
      <x:c r="F155" s="43" t="n">
        <x:v>-28</x:v>
      </x:c>
      <x:c r="G155" s="43" t="str">
        <x:v>12:30</x:v>
      </x:c>
      <x:c r="H155" s="43" t="str">
        <x:v>RP-1153</x:v>
      </x:c>
      <x:c r="I155" s="43" t="n">
        <x:v>3</x:v>
      </x:c>
      <x:c r="J155" s="43" t="str">
        <x:v>Recogida rápida y producto en muy buen estado.</x:v>
      </x:c>
      <x:c r="K155" s="43" t="str"/>
    </x:row>
    <x:row r="156" ht="22" customHeight="1">
      <x:c r="A156" s="43" t="str">
        <x:v>RSV-0155</x:v>
      </x:c>
      <x:c r="B156" s="43" t="str">
        <x:v>PACK-0035</x:v>
      </x:c>
      <x:c r="C156" s="43" t="str">
        <x:v>USR-CLI-002</x:v>
      </x:c>
      <x:c r="D156" s="43" t="n">
        <x:v>1</x:v>
      </x:c>
      <x:c r="E156" s="43" t="str">
        <x:v>collected</x:v>
      </x:c>
      <x:c r="F156" s="43" t="n">
        <x:v>-29</x:v>
      </x:c>
      <x:c r="G156" s="43" t="str">
        <x:v>13:00</x:v>
      </x:c>
      <x:c r="H156" s="43" t="str">
        <x:v>RP-1154</x:v>
      </x:c>
      <x:c r="I156" s="43" t="n">
        <x:v>4</x:v>
      </x:c>
      <x:c r="J156" s="43" t="str"/>
      <x:c r="K156" s="43" t="str"/>
    </x:row>
    <x:row r="157" ht="22" customHeight="1">
      <x:c r="A157" s="43" t="str">
        <x:v>RSV-0156</x:v>
      </x:c>
      <x:c r="B157" s="43" t="str">
        <x:v>PACK-0036</x:v>
      </x:c>
      <x:c r="C157" s="43" t="str">
        <x:v>USR-CLI-009</x:v>
      </x:c>
      <x:c r="D157" s="43" t="n">
        <x:v>1</x:v>
      </x:c>
      <x:c r="E157" s="43" t="str">
        <x:v>collected</x:v>
      </x:c>
      <x:c r="F157" s="43" t="n">
        <x:v>-30</x:v>
      </x:c>
      <x:c r="G157" s="43" t="str">
        <x:v>14:30</x:v>
      </x:c>
      <x:c r="H157" s="43" t="str">
        <x:v>RP-1155</x:v>
      </x:c>
      <x:c r="I157" s="43" t="n">
        <x:v>5</x:v>
      </x:c>
      <x:c r="J157" s="43" t="str"/>
      <x:c r="K157" s="43" t="str"/>
    </x:row>
    <x:row r="158" ht="22" customHeight="1">
      <x:c r="A158" s="43" t="str">
        <x:v>RSV-0157</x:v>
      </x:c>
      <x:c r="B158" s="43" t="str">
        <x:v>PACK-0037</x:v>
      </x:c>
      <x:c r="C158" s="43" t="str">
        <x:v>USR-CLI-016</x:v>
      </x:c>
      <x:c r="D158" s="43" t="n">
        <x:v>1</x:v>
      </x:c>
      <x:c r="E158" s="43" t="str">
        <x:v>collected</x:v>
      </x:c>
      <x:c r="F158" s="43" t="n">
        <x:v>-31</x:v>
      </x:c>
      <x:c r="G158" s="43" t="str">
        <x:v>15:00</x:v>
      </x:c>
      <x:c r="H158" s="43" t="str">
        <x:v>RP-1156</x:v>
      </x:c>
      <x:c r="I158" s="43" t="n">
        <x:v>3</x:v>
      </x:c>
      <x:c r="J158" s="43" t="str">
        <x:v>Recogida rápida y producto en muy buen estado.</x:v>
      </x:c>
      <x:c r="K158" s="43" t="str"/>
    </x:row>
    <x:row r="159" ht="22" customHeight="1">
      <x:c r="A159" s="43" t="str">
        <x:v>RSV-0158</x:v>
      </x:c>
      <x:c r="B159" s="43" t="str">
        <x:v>PACK-0038</x:v>
      </x:c>
      <x:c r="C159" s="43" t="str">
        <x:v>USR-CLI-023</x:v>
      </x:c>
      <x:c r="D159" s="43" t="n">
        <x:v>1</x:v>
      </x:c>
      <x:c r="E159" s="43" t="str">
        <x:v>collected</x:v>
      </x:c>
      <x:c r="F159" s="43" t="n">
        <x:v>-32</x:v>
      </x:c>
      <x:c r="G159" s="43" t="str">
        <x:v>16:30</x:v>
      </x:c>
      <x:c r="H159" s="43" t="str">
        <x:v>RP-1157</x:v>
      </x:c>
      <x:c r="I159" s="43" t="n">
        <x:v>4</x:v>
      </x:c>
      <x:c r="J159" s="43" t="str"/>
      <x:c r="K159" s="43" t="str"/>
    </x:row>
    <x:row r="160" ht="22" customHeight="1">
      <x:c r="A160" s="43" t="str">
        <x:v>RSV-0159</x:v>
      </x:c>
      <x:c r="B160" s="43" t="str">
        <x:v>PACK-0039</x:v>
      </x:c>
      <x:c r="C160" s="43" t="str">
        <x:v>USR-CLI-003</x:v>
      </x:c>
      <x:c r="D160" s="43" t="n">
        <x:v>1</x:v>
      </x:c>
      <x:c r="E160" s="43" t="str">
        <x:v>collected</x:v>
      </x:c>
      <x:c r="F160" s="43" t="n">
        <x:v>-33</x:v>
      </x:c>
      <x:c r="G160" s="43" t="str">
        <x:v>17:00</x:v>
      </x:c>
      <x:c r="H160" s="43" t="str">
        <x:v>RP-1158</x:v>
      </x:c>
      <x:c r="I160" s="43" t="n">
        <x:v>5</x:v>
      </x:c>
      <x:c r="J160" s="43" t="str"/>
      <x:c r="K160" s="43" t="str"/>
    </x:row>
    <x:row r="161" ht="22" customHeight="1">
      <x:c r="A161" s="43" t="str">
        <x:v>RSV-0160</x:v>
      </x:c>
      <x:c r="B161" s="43" t="str">
        <x:v>PACK-0040</x:v>
      </x:c>
      <x:c r="C161" s="43" t="str">
        <x:v>USR-CLI-010</x:v>
      </x:c>
      <x:c r="D161" s="43" t="n">
        <x:v>1</x:v>
      </x:c>
      <x:c r="E161" s="43" t="str">
        <x:v>collected</x:v>
      </x:c>
      <x:c r="F161" s="43" t="n">
        <x:v>-34</x:v>
      </x:c>
      <x:c r="G161" s="43" t="str">
        <x:v>18:30</x:v>
      </x:c>
      <x:c r="H161" s="43" t="str">
        <x:v>RP-1159</x:v>
      </x:c>
      <x:c r="I161" s="43" t="n">
        <x:v>3</x:v>
      </x:c>
      <x:c r="J161" s="43" t="str">
        <x:v>Recogida rápida y producto en muy buen estado.</x:v>
      </x:c>
      <x:c r="K161" s="43" t="str"/>
    </x:row>
    <x:row r="162" ht="22" customHeight="1">
      <x:c r="A162" s="43" t="str">
        <x:v>RSV-0161</x:v>
      </x:c>
      <x:c r="B162" s="43" t="str">
        <x:v>PACK-0041</x:v>
      </x:c>
      <x:c r="C162" s="43" t="str">
        <x:v>USR-CLI-017</x:v>
      </x:c>
      <x:c r="D162" s="43" t="n">
        <x:v>1</x:v>
      </x:c>
      <x:c r="E162" s="43" t="str">
        <x:v>cancelled</x:v>
      </x:c>
      <x:c r="F162" s="43" t="n">
        <x:v>-35</x:v>
      </x:c>
      <x:c r="G162" s="43" t="str">
        <x:v>09:00</x:v>
      </x:c>
      <x:c r="H162" s="43" t="str"/>
      <x:c r="I162" s="43" t="str"/>
      <x:c r="J162" s="43" t="str"/>
      <x:c r="K162" s="43" t="str">
        <x:v>No llego a tiempo</x:v>
      </x:c>
    </x:row>
    <x:row r="163" ht="22" customHeight="1">
      <x:c r="A163" s="43" t="str">
        <x:v>RSV-0162</x:v>
      </x:c>
      <x:c r="B163" s="43" t="str">
        <x:v>PACK-0042</x:v>
      </x:c>
      <x:c r="C163" s="43" t="str">
        <x:v>USR-CLI-024</x:v>
      </x:c>
      <x:c r="D163" s="43" t="n">
        <x:v>1</x:v>
      </x:c>
      <x:c r="E163" s="43" t="str">
        <x:v>cancelled</x:v>
      </x:c>
      <x:c r="F163" s="43" t="n">
        <x:v>-36</x:v>
      </x:c>
      <x:c r="G163" s="43" t="str">
        <x:v>10:30</x:v>
      </x:c>
      <x:c r="H163" s="43" t="str"/>
      <x:c r="I163" s="43" t="str"/>
      <x:c r="J163" s="43" t="str"/>
      <x:c r="K163" s="43" t="str">
        <x:v>Reserva duplicada</x:v>
      </x:c>
    </x:row>
    <x:row r="164" ht="22" customHeight="1">
      <x:c r="A164" s="43" t="str">
        <x:v>RSV-0163</x:v>
      </x:c>
      <x:c r="B164" s="43" t="str">
        <x:v>PACK-0043</x:v>
      </x:c>
      <x:c r="C164" s="43" t="str">
        <x:v>USR-CLI-004</x:v>
      </x:c>
      <x:c r="D164" s="43" t="n">
        <x:v>1</x:v>
      </x:c>
      <x:c r="E164" s="43" t="str">
        <x:v>cancelled</x:v>
      </x:c>
      <x:c r="F164" s="43" t="n">
        <x:v>-37</x:v>
      </x:c>
      <x:c r="G164" s="43" t="str">
        <x:v>11:00</x:v>
      </x:c>
      <x:c r="H164" s="43" t="str"/>
      <x:c r="I164" s="43" t="str"/>
      <x:c r="J164" s="43" t="str"/>
      <x:c r="K164" s="43" t="str">
        <x:v>Cambio de planes</x:v>
      </x:c>
    </x:row>
    <x:row r="165" ht="22" customHeight="1">
      <x:c r="A165" s="43" t="str">
        <x:v>RSV-0164</x:v>
      </x:c>
      <x:c r="B165" s="43" t="str">
        <x:v>PACK-0044</x:v>
      </x:c>
      <x:c r="C165" s="43" t="str">
        <x:v>USR-CLI-011</x:v>
      </x:c>
      <x:c r="D165" s="43" t="n">
        <x:v>1</x:v>
      </x:c>
      <x:c r="E165" s="43" t="str">
        <x:v>cancelled</x:v>
      </x:c>
      <x:c r="F165" s="43" t="n">
        <x:v>-38</x:v>
      </x:c>
      <x:c r="G165" s="43" t="str">
        <x:v>12:30</x:v>
      </x:c>
      <x:c r="H165" s="43" t="str"/>
      <x:c r="I165" s="43" t="str"/>
      <x:c r="J165" s="43" t="str"/>
      <x:c r="K165" s="43" t="str">
        <x:v>No llego a tiempo</x:v>
      </x:c>
    </x:row>
    <x:row r="166" ht="22" customHeight="1">
      <x:c r="A166" s="43" t="str">
        <x:v>RSV-0165</x:v>
      </x:c>
      <x:c r="B166" s="43" t="str">
        <x:v>PACK-0045</x:v>
      </x:c>
      <x:c r="C166" s="43" t="str">
        <x:v>USR-CLI-018</x:v>
      </x:c>
      <x:c r="D166" s="43" t="n">
        <x:v>1</x:v>
      </x:c>
      <x:c r="E166" s="43" t="str">
        <x:v>cancelled</x:v>
      </x:c>
      <x:c r="F166" s="43" t="n">
        <x:v>-39</x:v>
      </x:c>
      <x:c r="G166" s="43" t="str">
        <x:v>13:00</x:v>
      </x:c>
      <x:c r="H166" s="43" t="str"/>
      <x:c r="I166" s="43" t="str"/>
      <x:c r="J166" s="43" t="str"/>
      <x:c r="K166" s="43" t="str">
        <x:v>Reserva duplicada</x:v>
      </x:c>
    </x:row>
    <x:row r="167" ht="22" customHeight="1">
      <x:c r="A167" s="43" t="str">
        <x:v>RSV-0166</x:v>
      </x:c>
      <x:c r="B167" s="43" t="str">
        <x:v>PACK-0046</x:v>
      </x:c>
      <x:c r="C167" s="43" t="str">
        <x:v>USR-CLI-025</x:v>
      </x:c>
      <x:c r="D167" s="43" t="n">
        <x:v>1</x:v>
      </x:c>
      <x:c r="E167" s="43" t="str">
        <x:v>cancelled</x:v>
      </x:c>
      <x:c r="F167" s="43" t="n">
        <x:v>-40</x:v>
      </x:c>
      <x:c r="G167" s="43" t="str">
        <x:v>14:30</x:v>
      </x:c>
      <x:c r="H167" s="43" t="str"/>
      <x:c r="I167" s="43" t="str"/>
      <x:c r="J167" s="43" t="str"/>
      <x:c r="K167" s="43" t="str">
        <x:v>Cambio de planes</x:v>
      </x:c>
    </x:row>
    <x:row r="168" ht="22" customHeight="1">
      <x:c r="A168" s="43" t="str">
        <x:v>RSV-0167</x:v>
      </x:c>
      <x:c r="B168" s="43" t="str">
        <x:v>PACK-0047</x:v>
      </x:c>
      <x:c r="C168" s="43" t="str">
        <x:v>USR-CLI-005</x:v>
      </x:c>
      <x:c r="D168" s="43" t="n">
        <x:v>1</x:v>
      </x:c>
      <x:c r="E168" s="43" t="str">
        <x:v>cancelled</x:v>
      </x:c>
      <x:c r="F168" s="43" t="n">
        <x:v>-41</x:v>
      </x:c>
      <x:c r="G168" s="43" t="str">
        <x:v>15:00</x:v>
      </x:c>
      <x:c r="H168" s="43" t="str"/>
      <x:c r="I168" s="43" t="str"/>
      <x:c r="J168" s="43" t="str"/>
      <x:c r="K168" s="43" t="str">
        <x:v>No llego a tiempo</x:v>
      </x:c>
    </x:row>
    <x:row r="169" ht="22" customHeight="1">
      <x:c r="A169" s="43" t="str">
        <x:v>RSV-0168</x:v>
      </x:c>
      <x:c r="B169" s="43" t="str">
        <x:v>PACK-0048</x:v>
      </x:c>
      <x:c r="C169" s="43" t="str">
        <x:v>USR-CLI-012</x:v>
      </x:c>
      <x:c r="D169" s="43" t="n">
        <x:v>1</x:v>
      </x:c>
      <x:c r="E169" s="43" t="str">
        <x:v>cancelled</x:v>
      </x:c>
      <x:c r="F169" s="43" t="n">
        <x:v>-42</x:v>
      </x:c>
      <x:c r="G169" s="43" t="str">
        <x:v>16:30</x:v>
      </x:c>
      <x:c r="H169" s="43" t="str"/>
      <x:c r="I169" s="43" t="str"/>
      <x:c r="J169" s="43" t="str"/>
      <x:c r="K169" s="43" t="str">
        <x:v>Reserva duplicada</x:v>
      </x:c>
    </x:row>
    <x:row r="170" ht="22" customHeight="1">
      <x:c r="A170" s="43" t="str">
        <x:v>RSV-0169</x:v>
      </x:c>
      <x:c r="B170" s="43" t="str">
        <x:v>PACK-0049</x:v>
      </x:c>
      <x:c r="C170" s="43" t="str">
        <x:v>USR-CLI-019</x:v>
      </x:c>
      <x:c r="D170" s="43" t="n">
        <x:v>1</x:v>
      </x:c>
      <x:c r="E170" s="43" t="str">
        <x:v>cancelled</x:v>
      </x:c>
      <x:c r="F170" s="43" t="n">
        <x:v>-1</x:v>
      </x:c>
      <x:c r="G170" s="43" t="str">
        <x:v>17:00</x:v>
      </x:c>
      <x:c r="H170" s="43" t="str"/>
      <x:c r="I170" s="43" t="str"/>
      <x:c r="J170" s="43" t="str"/>
      <x:c r="K170" s="43" t="str">
        <x:v>Cambio de planes</x:v>
      </x:c>
    </x:row>
    <x:row r="171" ht="22" customHeight="1">
      <x:c r="A171" s="43" t="str">
        <x:v>RSV-0170</x:v>
      </x:c>
      <x:c r="B171" s="43" t="str">
        <x:v>PACK-0050</x:v>
      </x:c>
      <x:c r="C171" s="43" t="str">
        <x:v>USR-CLI-026</x:v>
      </x:c>
      <x:c r="D171" s="43" t="n">
        <x:v>1</x:v>
      </x:c>
      <x:c r="E171" s="43" t="str">
        <x:v>cancelled</x:v>
      </x:c>
      <x:c r="F171" s="43" t="n">
        <x:v>-2</x:v>
      </x:c>
      <x:c r="G171" s="43" t="str">
        <x:v>18:30</x:v>
      </x:c>
      <x:c r="H171" s="43" t="str"/>
      <x:c r="I171" s="43" t="str"/>
      <x:c r="J171" s="43" t="str"/>
      <x:c r="K171" s="43" t="str">
        <x:v>No llego a tiempo</x:v>
      </x:c>
    </x:row>
    <x:row r="172" ht="22" customHeight="1">
      <x:c r="A172" s="43" t="str">
        <x:v>RSV-0171</x:v>
      </x:c>
      <x:c r="B172" s="43" t="str">
        <x:v>PACK-0051</x:v>
      </x:c>
      <x:c r="C172" s="43" t="str">
        <x:v>USR-CLI-006</x:v>
      </x:c>
      <x:c r="D172" s="43" t="n">
        <x:v>1</x:v>
      </x:c>
      <x:c r="E172" s="43" t="str">
        <x:v>cancelled</x:v>
      </x:c>
      <x:c r="F172" s="43" t="n">
        <x:v>-3</x:v>
      </x:c>
      <x:c r="G172" s="43" t="str">
        <x:v>09:00</x:v>
      </x:c>
      <x:c r="H172" s="43" t="str"/>
      <x:c r="I172" s="43" t="str"/>
      <x:c r="J172" s="43" t="str"/>
      <x:c r="K172" s="43" t="str">
        <x:v>Reserva duplicada</x:v>
      </x:c>
    </x:row>
    <x:row r="173" ht="22" customHeight="1">
      <x:c r="A173" s="43" t="str">
        <x:v>RSV-0172</x:v>
      </x:c>
      <x:c r="B173" s="43" t="str">
        <x:v>PACK-0052</x:v>
      </x:c>
      <x:c r="C173" s="43" t="str">
        <x:v>USR-CLI-013</x:v>
      </x:c>
      <x:c r="D173" s="43" t="n">
        <x:v>1</x:v>
      </x:c>
      <x:c r="E173" s="43" t="str">
        <x:v>cancelled</x:v>
      </x:c>
      <x:c r="F173" s="43" t="n">
        <x:v>-4</x:v>
      </x:c>
      <x:c r="G173" s="43" t="str">
        <x:v>10:30</x:v>
      </x:c>
      <x:c r="H173" s="43" t="str"/>
      <x:c r="I173" s="43" t="str"/>
      <x:c r="J173" s="43" t="str"/>
      <x:c r="K173" s="43" t="str">
        <x:v>Cambio de planes</x:v>
      </x:c>
    </x:row>
    <x:row r="174" ht="22" customHeight="1">
      <x:c r="A174" s="43" t="str">
        <x:v>RSV-0173</x:v>
      </x:c>
      <x:c r="B174" s="43" t="str">
        <x:v>PACK-0053</x:v>
      </x:c>
      <x:c r="C174" s="43" t="str">
        <x:v>USR-CLI-020</x:v>
      </x:c>
      <x:c r="D174" s="43" t="n">
        <x:v>1</x:v>
      </x:c>
      <x:c r="E174" s="43" t="str">
        <x:v>cancelled</x:v>
      </x:c>
      <x:c r="F174" s="43" t="n">
        <x:v>-5</x:v>
      </x:c>
      <x:c r="G174" s="43" t="str">
        <x:v>11:00</x:v>
      </x:c>
      <x:c r="H174" s="43" t="str"/>
      <x:c r="I174" s="43" t="str"/>
      <x:c r="J174" s="43" t="str"/>
      <x:c r="K174" s="43" t="str">
        <x:v>No llego a tiempo</x:v>
      </x:c>
    </x:row>
    <x:row r="175" ht="22" customHeight="1">
      <x:c r="A175" s="43" t="str">
        <x:v>RSV-0174</x:v>
      </x:c>
      <x:c r="B175" s="43" t="str">
        <x:v>PACK-0054</x:v>
      </x:c>
      <x:c r="C175" s="43" t="str">
        <x:v>USR-CLI-027</x:v>
      </x:c>
      <x:c r="D175" s="43" t="n">
        <x:v>1</x:v>
      </x:c>
      <x:c r="E175" s="43" t="str">
        <x:v>cancelled</x:v>
      </x:c>
      <x:c r="F175" s="43" t="n">
        <x:v>-6</x:v>
      </x:c>
      <x:c r="G175" s="43" t="str">
        <x:v>12:30</x:v>
      </x:c>
      <x:c r="H175" s="43" t="str"/>
      <x:c r="I175" s="43" t="str"/>
      <x:c r="J175" s="43" t="str"/>
      <x:c r="K175" s="43" t="str">
        <x:v>Reserva duplicada</x:v>
      </x:c>
    </x:row>
    <x:row r="176" ht="22" customHeight="1">
      <x:c r="A176" s="43" t="str">
        <x:v>RSV-0175</x:v>
      </x:c>
      <x:c r="B176" s="43" t="str">
        <x:v>PACK-0055</x:v>
      </x:c>
      <x:c r="C176" s="43" t="str">
        <x:v>USR-CLI-007</x:v>
      </x:c>
      <x:c r="D176" s="43" t="n">
        <x:v>1</x:v>
      </x:c>
      <x:c r="E176" s="43" t="str">
        <x:v>cancelled</x:v>
      </x:c>
      <x:c r="F176" s="43" t="n">
        <x:v>-7</x:v>
      </x:c>
      <x:c r="G176" s="43" t="str">
        <x:v>13:00</x:v>
      </x:c>
      <x:c r="H176" s="43" t="str"/>
      <x:c r="I176" s="43" t="str"/>
      <x:c r="J176" s="43" t="str"/>
      <x:c r="K176" s="43" t="str">
        <x:v>Cambio de planes</x:v>
      </x:c>
    </x:row>
    <x:row r="177" ht="22" customHeight="1">
      <x:c r="A177" s="43" t="str">
        <x:v>RSV-0176</x:v>
      </x:c>
      <x:c r="B177" s="43" t="str">
        <x:v>PACK-0056</x:v>
      </x:c>
      <x:c r="C177" s="43" t="str">
        <x:v>USR-CLI-014</x:v>
      </x:c>
      <x:c r="D177" s="43" t="n">
        <x:v>1</x:v>
      </x:c>
      <x:c r="E177" s="43" t="str">
        <x:v>cancelled</x:v>
      </x:c>
      <x:c r="F177" s="43" t="n">
        <x:v>-8</x:v>
      </x:c>
      <x:c r="G177" s="43" t="str">
        <x:v>14:30</x:v>
      </x:c>
      <x:c r="H177" s="43" t="str"/>
      <x:c r="I177" s="43" t="str"/>
      <x:c r="J177" s="43" t="str"/>
      <x:c r="K177" s="43" t="str">
        <x:v>No llego a tiempo</x:v>
      </x:c>
    </x:row>
    <x:row r="178" ht="22" customHeight="1">
      <x:c r="A178" s="43" t="str">
        <x:v>RSV-0177</x:v>
      </x:c>
      <x:c r="B178" s="43" t="str">
        <x:v>PACK-0057</x:v>
      </x:c>
      <x:c r="C178" s="43" t="str">
        <x:v>USR-CLI-021</x:v>
      </x:c>
      <x:c r="D178" s="43" t="n">
        <x:v>1</x:v>
      </x:c>
      <x:c r="E178" s="43" t="str">
        <x:v>cancelled</x:v>
      </x:c>
      <x:c r="F178" s="43" t="n">
        <x:v>-9</x:v>
      </x:c>
      <x:c r="G178" s="43" t="str">
        <x:v>15:00</x:v>
      </x:c>
      <x:c r="H178" s="43" t="str"/>
      <x:c r="I178" s="43" t="str"/>
      <x:c r="J178" s="43" t="str"/>
      <x:c r="K178" s="43" t="str">
        <x:v>Reserva duplicada</x:v>
      </x:c>
    </x:row>
    <x:row r="179" ht="22" customHeight="1">
      <x:c r="A179" s="43" t="str">
        <x:v>RSV-0178</x:v>
      </x:c>
      <x:c r="B179" s="43" t="str">
        <x:v>PACK-0058</x:v>
      </x:c>
      <x:c r="C179" s="43" t="str">
        <x:v>USR-CLI-001</x:v>
      </x:c>
      <x:c r="D179" s="43" t="n">
        <x:v>1</x:v>
      </x:c>
      <x:c r="E179" s="43" t="str">
        <x:v>cancelled</x:v>
      </x:c>
      <x:c r="F179" s="43" t="n">
        <x:v>-10</x:v>
      </x:c>
      <x:c r="G179" s="43" t="str">
        <x:v>16:30</x:v>
      </x:c>
      <x:c r="H179" s="43" t="str"/>
      <x:c r="I179" s="43" t="str"/>
      <x:c r="J179" s="43" t="str"/>
      <x:c r="K179" s="43" t="str">
        <x:v>Cambio de planes</x:v>
      </x:c>
    </x:row>
    <x:row r="180" ht="22" customHeight="1">
      <x:c r="A180" s="43" t="str">
        <x:v>RSV-0179</x:v>
      </x:c>
      <x:c r="B180" s="43" t="str">
        <x:v>PACK-0059</x:v>
      </x:c>
      <x:c r="C180" s="43" t="str">
        <x:v>USR-CLI-008</x:v>
      </x:c>
      <x:c r="D180" s="43" t="n">
        <x:v>1</x:v>
      </x:c>
      <x:c r="E180" s="43" t="str">
        <x:v>cancelled</x:v>
      </x:c>
      <x:c r="F180" s="43" t="n">
        <x:v>-11</x:v>
      </x:c>
      <x:c r="G180" s="43" t="str">
        <x:v>17:00</x:v>
      </x:c>
      <x:c r="H180" s="43" t="str"/>
      <x:c r="I180" s="43" t="str"/>
      <x:c r="J180" s="43" t="str"/>
      <x:c r="K180" s="43" t="str">
        <x:v>No llego a tiempo</x:v>
      </x:c>
    </x:row>
    <x:row r="181" ht="22" customHeight="1">
      <x:c r="A181" s="45" t="str">
        <x:v>RSV-0180</x:v>
      </x:c>
      <x:c r="B181" s="45" t="str">
        <x:v>PACK-0060</x:v>
      </x:c>
      <x:c r="C181" s="45" t="str">
        <x:v>USR-CLI-015</x:v>
      </x:c>
      <x:c r="D181" s="45" t="n">
        <x:v>1</x:v>
      </x:c>
      <x:c r="E181" s="45" t="str">
        <x:v>cancelled</x:v>
      </x:c>
      <x:c r="F181" s="45" t="n">
        <x:v>-12</x:v>
      </x:c>
      <x:c r="G181" s="45" t="str">
        <x:v>18:30</x:v>
      </x:c>
      <x:c r="H181" s="45" t="str"/>
      <x:c r="I181" s="45" t="str"/>
      <x:c r="J181" s="45" t="str"/>
      <x:c r="K181" s="45" t="str">
        <x:v>Reserva duplicada</x:v>
      </x:c>
    </x:row>
  </x:sheetData>
  <x:conditionalFormatting sqref="A2:A181">
    <x:cfRule type="duplicateValues" dxfId="4" priority="1"/>
  </x:conditionalFormatting>
  <x:dataValidations count="1">
    <x:dataValidation type="list" sqref="E2:E181">
      <x:formula1>"pending,confirmed,collected,cancelled"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915d0122a34fa2"/>
  </x:tableParts>
</x:worksheet>
</file>